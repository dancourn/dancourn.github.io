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danie\OneDrive\Desktop\Claude Code\dancourn.github.io\training-desk\"/>
    </mc:Choice>
  </mc:AlternateContent>
  <xr:revisionPtr revIDLastSave="0" documentId="13_ncr:1_{67596DC1-A7B1-4792-BC17-850691410AE1}" xr6:coauthVersionLast="47" xr6:coauthVersionMax="47" xr10:uidLastSave="{00000000-0000-0000-0000-000000000000}"/>
  <bookViews>
    <workbookView xWindow="29220" yWindow="330" windowWidth="21600" windowHeight="11475" firstSheet="7" activeTab="9" xr2:uid="{00000000-000D-0000-FFFF-FFFF00000000}"/>
  </bookViews>
  <sheets>
    <sheet name="README" sheetId="1" r:id="rId1"/>
    <sheet name="GL_Actuals" sheetId="2" r:id="rId2"/>
    <sheet name="Budget" sheetId="3" r:id="rId3"/>
    <sheet name="GL_Detail_Sep" sheetId="4" r:id="rId4"/>
    <sheet name="Headcount" sheetId="5" r:id="rId5"/>
    <sheet name="ARR_Drivers" sheetId="6" r:id="rId6"/>
    <sheet name="PY_Summary" sheetId="7" r:id="rId7"/>
    <sheet name="Chart_of_Accounts" sheetId="8" r:id="rId8"/>
    <sheet name="Summary" sheetId="9" r:id="rId9"/>
    <sheet name="Dept_Detail" sheetId="10" r:id="rId10"/>
  </sheets>
  <definedNames>
    <definedName name="_xlnm._FilterDatabase" localSheetId="5" hidden="1">ARR_Drivers!$A$1:$I$13</definedName>
    <definedName name="_xlnm._FilterDatabase" localSheetId="2" hidden="1">Budget!$A$1:$F$577</definedName>
    <definedName name="_xlnm._FilterDatabase" localSheetId="7" hidden="1">Chart_of_Accounts!$A$1:$C$18</definedName>
    <definedName name="_xlnm._FilterDatabase" localSheetId="9" hidden="1">Dept_Detail!$A$1:$I$49</definedName>
    <definedName name="_xlnm._FilterDatabase" localSheetId="1" hidden="1">GL_Actuals!$A$1:$F$433</definedName>
    <definedName name="_xlnm._FilterDatabase" localSheetId="3" hidden="1">GL_Detail_Sep!$A$1:$H$89</definedName>
    <definedName name="_xlnm._FilterDatabase" localSheetId="4" hidden="1">Headcount!$A$1:$K$491</definedName>
    <definedName name="_xlnm._FilterDatabase" localSheetId="6" hidden="1">PY_Summary!$A$1:$G$13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6" l="1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2" i="10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2" i="10"/>
  <c r="J12" i="9"/>
  <c r="I12" i="9"/>
  <c r="J11" i="9"/>
  <c r="I11" i="9"/>
  <c r="J10" i="9"/>
  <c r="I10" i="9"/>
  <c r="J7" i="9"/>
  <c r="I7" i="9"/>
  <c r="J5" i="9"/>
  <c r="I5" i="9"/>
  <c r="J4" i="9"/>
  <c r="I4" i="9"/>
  <c r="D12" i="9"/>
  <c r="C12" i="9"/>
  <c r="D11" i="9"/>
  <c r="C11" i="9"/>
  <c r="D10" i="9"/>
  <c r="C10" i="9"/>
  <c r="D7" i="9"/>
  <c r="C7" i="9"/>
  <c r="D5" i="9"/>
  <c r="C5" i="9"/>
  <c r="D4" i="9"/>
  <c r="C4" i="9"/>
  <c r="C6" i="9" s="1"/>
  <c r="E51" i="10" l="1"/>
  <c r="E12" i="9"/>
  <c r="I6" i="9"/>
  <c r="I8" i="9" s="1"/>
  <c r="C8" i="9"/>
  <c r="E11" i="9"/>
  <c r="F3" i="10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30" i="10"/>
  <c r="F33" i="10"/>
  <c r="F36" i="10"/>
  <c r="F38" i="10"/>
  <c r="F40" i="10"/>
  <c r="F42" i="10"/>
  <c r="F43" i="10"/>
  <c r="F45" i="10"/>
  <c r="F47" i="10"/>
  <c r="F48" i="10"/>
  <c r="F18" i="10"/>
  <c r="F19" i="10"/>
  <c r="F20" i="10"/>
  <c r="F21" i="10"/>
  <c r="F22" i="10"/>
  <c r="F23" i="10"/>
  <c r="F24" i="10"/>
  <c r="F25" i="10"/>
  <c r="F26" i="10"/>
  <c r="H26" i="10" s="1"/>
  <c r="F27" i="10"/>
  <c r="F28" i="10"/>
  <c r="F29" i="10"/>
  <c r="G29" i="10" s="1"/>
  <c r="F31" i="10"/>
  <c r="F32" i="10"/>
  <c r="F34" i="10"/>
  <c r="F35" i="10"/>
  <c r="F37" i="10"/>
  <c r="F39" i="10"/>
  <c r="F41" i="10"/>
  <c r="F44" i="10"/>
  <c r="F46" i="10"/>
  <c r="F49" i="10"/>
  <c r="I13" i="9"/>
  <c r="K7" i="9"/>
  <c r="K5" i="9"/>
  <c r="K12" i="9"/>
  <c r="C13" i="9"/>
  <c r="E7" i="9"/>
  <c r="E5" i="9"/>
  <c r="K11" i="9"/>
  <c r="F2" i="10"/>
  <c r="E10" i="9"/>
  <c r="D13" i="9"/>
  <c r="E4" i="9"/>
  <c r="D6" i="9"/>
  <c r="J13" i="9"/>
  <c r="K10" i="9"/>
  <c r="J6" i="9"/>
  <c r="K4" i="9"/>
  <c r="C17" i="9" l="1"/>
  <c r="G42" i="10"/>
  <c r="I42" i="10" s="1"/>
  <c r="B61" i="10"/>
  <c r="K13" i="9"/>
  <c r="F7" i="9"/>
  <c r="G7" i="9"/>
  <c r="G5" i="9"/>
  <c r="F5" i="9"/>
  <c r="M12" i="9"/>
  <c r="L12" i="9"/>
  <c r="F12" i="9"/>
  <c r="G12" i="9"/>
  <c r="C9" i="9"/>
  <c r="C14" i="9"/>
  <c r="C15" i="9" s="1"/>
  <c r="G11" i="9"/>
  <c r="F11" i="9"/>
  <c r="L11" i="9"/>
  <c r="M11" i="9"/>
  <c r="E13" i="9"/>
  <c r="H42" i="10"/>
  <c r="G43" i="10"/>
  <c r="H43" i="10"/>
  <c r="I43" i="10"/>
  <c r="G45" i="10"/>
  <c r="I45" i="10" s="1"/>
  <c r="H45" i="10"/>
  <c r="G47" i="10"/>
  <c r="I47" i="10" s="1"/>
  <c r="H47" i="10"/>
  <c r="G48" i="10"/>
  <c r="I48" i="10" s="1"/>
  <c r="H48" i="10"/>
  <c r="G26" i="10"/>
  <c r="I26" i="10" s="1"/>
  <c r="G27" i="10"/>
  <c r="I27" i="10" s="1"/>
  <c r="H27" i="10"/>
  <c r="G28" i="10"/>
  <c r="H28" i="10"/>
  <c r="I28" i="10"/>
  <c r="G44" i="10"/>
  <c r="I44" i="10"/>
  <c r="H44" i="10"/>
  <c r="G46" i="10"/>
  <c r="I46" i="10" s="1"/>
  <c r="H46" i="10"/>
  <c r="G49" i="10"/>
  <c r="I49" i="10" s="1"/>
  <c r="H49" i="10"/>
  <c r="I9" i="9"/>
  <c r="I14" i="9"/>
  <c r="I15" i="9" s="1"/>
  <c r="L7" i="9"/>
  <c r="M7" i="9"/>
  <c r="L5" i="9"/>
  <c r="M5" i="9"/>
  <c r="G3" i="10"/>
  <c r="I3" i="10" s="1"/>
  <c r="H3" i="10"/>
  <c r="G4" i="10"/>
  <c r="I4" i="10" s="1"/>
  <c r="H4" i="10"/>
  <c r="G5" i="10"/>
  <c r="I5" i="10" s="1"/>
  <c r="H5" i="10"/>
  <c r="G6" i="10"/>
  <c r="I6" i="10" s="1"/>
  <c r="H6" i="10"/>
  <c r="G7" i="10"/>
  <c r="I7" i="10" s="1"/>
  <c r="H7" i="10"/>
  <c r="H8" i="10"/>
  <c r="G8" i="10"/>
  <c r="I8" i="10" s="1"/>
  <c r="G9" i="10"/>
  <c r="I9" i="10" s="1"/>
  <c r="H9" i="10"/>
  <c r="G10" i="10"/>
  <c r="I10" i="10" s="1"/>
  <c r="H10" i="10"/>
  <c r="G11" i="10"/>
  <c r="H11" i="10"/>
  <c r="I11" i="10"/>
  <c r="H12" i="10"/>
  <c r="G12" i="10"/>
  <c r="I12" i="10" s="1"/>
  <c r="G13" i="10"/>
  <c r="I13" i="10" s="1"/>
  <c r="H13" i="10"/>
  <c r="G14" i="10"/>
  <c r="I14" i="10" s="1"/>
  <c r="H14" i="10"/>
  <c r="G15" i="10"/>
  <c r="I15" i="10" s="1"/>
  <c r="H15" i="10"/>
  <c r="G16" i="10"/>
  <c r="H16" i="10"/>
  <c r="I16" i="10"/>
  <c r="G17" i="10"/>
  <c r="I17" i="10" s="1"/>
  <c r="H17" i="10"/>
  <c r="G30" i="10"/>
  <c r="I30" i="10" s="1"/>
  <c r="H30" i="10"/>
  <c r="G33" i="10"/>
  <c r="I33" i="10" s="1"/>
  <c r="H33" i="10"/>
  <c r="G36" i="10"/>
  <c r="I36" i="10" s="1"/>
  <c r="H36" i="10"/>
  <c r="G38" i="10"/>
  <c r="I38" i="10" s="1"/>
  <c r="H38" i="10"/>
  <c r="H40" i="10"/>
  <c r="G40" i="10"/>
  <c r="I40" i="10" s="1"/>
  <c r="G18" i="10"/>
  <c r="I18" i="10" s="1"/>
  <c r="H18" i="10"/>
  <c r="G19" i="10"/>
  <c r="I19" i="10" s="1"/>
  <c r="H19" i="10"/>
  <c r="H20" i="10"/>
  <c r="G20" i="10"/>
  <c r="I20" i="10" s="1"/>
  <c r="G21" i="10"/>
  <c r="I21" i="10" s="1"/>
  <c r="H21" i="10"/>
  <c r="H22" i="10"/>
  <c r="G22" i="10"/>
  <c r="I22" i="10" s="1"/>
  <c r="G23" i="10"/>
  <c r="I23" i="10" s="1"/>
  <c r="H23" i="10"/>
  <c r="H24" i="10"/>
  <c r="G24" i="10"/>
  <c r="I24" i="10" s="1"/>
  <c r="G25" i="10"/>
  <c r="I25" i="10" s="1"/>
  <c r="H25" i="10"/>
  <c r="H29" i="10"/>
  <c r="I29" i="10"/>
  <c r="G31" i="10"/>
  <c r="H31" i="10"/>
  <c r="I31" i="10"/>
  <c r="G32" i="10"/>
  <c r="H32" i="10"/>
  <c r="I32" i="10"/>
  <c r="G34" i="10"/>
  <c r="I34" i="10" s="1"/>
  <c r="H34" i="10"/>
  <c r="G35" i="10"/>
  <c r="I35" i="10" s="1"/>
  <c r="H35" i="10"/>
  <c r="G37" i="10"/>
  <c r="H37" i="10"/>
  <c r="I37" i="10"/>
  <c r="G39" i="10"/>
  <c r="H39" i="10"/>
  <c r="I39" i="10"/>
  <c r="G41" i="10"/>
  <c r="I41" i="10" s="1"/>
  <c r="H41" i="10"/>
  <c r="G2" i="10"/>
  <c r="I2" i="10" s="1"/>
  <c r="H2" i="10"/>
  <c r="F10" i="9"/>
  <c r="G10" i="9"/>
  <c r="F4" i="9"/>
  <c r="G4" i="9"/>
  <c r="E6" i="9"/>
  <c r="D8" i="9"/>
  <c r="D14" i="9" s="1"/>
  <c r="L10" i="9"/>
  <c r="M10" i="9"/>
  <c r="K6" i="9"/>
  <c r="J8" i="9"/>
  <c r="L4" i="9"/>
  <c r="M4" i="9"/>
  <c r="L13" i="9" l="1"/>
  <c r="M13" i="9"/>
  <c r="F13" i="9"/>
  <c r="G13" i="9"/>
  <c r="F6" i="9"/>
  <c r="G6" i="9"/>
  <c r="D9" i="9"/>
  <c r="E9" i="9" s="1"/>
  <c r="G9" i="9" s="1"/>
  <c r="E8" i="9"/>
  <c r="L6" i="9"/>
  <c r="M6" i="9"/>
  <c r="K8" i="9"/>
  <c r="J9" i="9"/>
  <c r="K9" i="9" s="1"/>
  <c r="M9" i="9" s="1"/>
  <c r="J14" i="9"/>
  <c r="D15" i="9" l="1"/>
  <c r="E15" i="9" s="1"/>
  <c r="G15" i="9" s="1"/>
  <c r="E14" i="9"/>
  <c r="F8" i="9"/>
  <c r="G8" i="9"/>
  <c r="L8" i="9"/>
  <c r="M8" i="9"/>
  <c r="K14" i="9"/>
  <c r="J15" i="9"/>
  <c r="K15" i="9" s="1"/>
  <c r="M15" i="9" s="1"/>
  <c r="F14" i="9" l="1"/>
  <c r="G14" i="9"/>
  <c r="L14" i="9"/>
  <c r="M14" i="9"/>
</calcChain>
</file>

<file path=xl/sharedStrings.xml><?xml version="1.0" encoding="utf-8"?>
<sst xmlns="http://schemas.openxmlformats.org/spreadsheetml/2006/main" count="8405" uniqueCount="1496">
  <si>
    <t>Company</t>
  </si>
  <si>
    <t>Business model</t>
  </si>
  <si>
    <t>Annual SaaS subscriptions billed upfront and recognized ratably, plus implementation / professional services billed on milestones.</t>
  </si>
  <si>
    <t>Scale</t>
  </si>
  <si>
    <t>Opening FY26 ARR $108.0M; FY26 Operating Plan targets $128.0M exit ARR and ~$121M revenue.</t>
  </si>
  <si>
    <t>Status</t>
  </si>
  <si>
    <t>Books closed through Sep 2026. Oct–Dec are budget only.</t>
  </si>
  <si>
    <t>Tab</t>
  </si>
  <si>
    <t>What it is</t>
  </si>
  <si>
    <t>GL_Actuals</t>
  </si>
  <si>
    <t>Closed monthly actuals by department and GL account (long format — pivot it). Amounts are positive for both revenue and expense.</t>
  </si>
  <si>
    <t>Budget</t>
  </si>
  <si>
    <t>FY2026 Operating Plan, board-approved Dec 2025. Same structure as GL_Actuals, all 12 months.</t>
  </si>
  <si>
    <t>GL_Detail_Sep</t>
  </si>
  <si>
    <t>September journal-entry detail with vendor and description. Use it to explain variances.</t>
  </si>
  <si>
    <t>Headcount</t>
  </si>
  <si>
    <t>Employee roster + FY26 open reqs. Planned_Start is when the plan assumed a req would be filled.</t>
  </si>
  <si>
    <t>ARR_Drivers</t>
  </si>
  <si>
    <t>Monthly ARR bridge (open, new+expansion, churn, close) — Budget vs Actual.</t>
  </si>
  <si>
    <t>PY_Summary</t>
  </si>
  <si>
    <t>FY2025 actuals at summary P&amp;L level for year-over-year context.</t>
  </si>
  <si>
    <t>Chart_of_Accounts</t>
  </si>
  <si>
    <t>Account list and P&amp;L roll-up rules.</t>
  </si>
  <si>
    <t>Sign convention</t>
  </si>
  <si>
    <t>Period</t>
  </si>
  <si>
    <t>Department</t>
  </si>
  <si>
    <t>Account</t>
  </si>
  <si>
    <t>Account Name</t>
  </si>
  <si>
    <t>P&amp;L Rollup</t>
  </si>
  <si>
    <t>Amount</t>
  </si>
  <si>
    <t>2026-01</t>
  </si>
  <si>
    <t>Revenue</t>
  </si>
  <si>
    <t>Subscription Revenue</t>
  </si>
  <si>
    <t>Professional Services Revenue</t>
  </si>
  <si>
    <t>Cost of Revenue</t>
  </si>
  <si>
    <t>Hosting &amp; Infrastructure</t>
  </si>
  <si>
    <t>Third-Party Software Licenses</t>
  </si>
  <si>
    <t>Sales</t>
  </si>
  <si>
    <t>Salaries &amp; Wages</t>
  </si>
  <si>
    <t>Sales &amp; Marketing</t>
  </si>
  <si>
    <t>Payroll Taxes &amp; Benefits</t>
  </si>
  <si>
    <t>Software &amp; Subscriptions</t>
  </si>
  <si>
    <t>Travel &amp; Entertainment</t>
  </si>
  <si>
    <t>Recruiting</t>
  </si>
  <si>
    <t>Marketing</t>
  </si>
  <si>
    <t>Customer Success</t>
  </si>
  <si>
    <t>R&amp;D</t>
  </si>
  <si>
    <t>Research &amp; Development</t>
  </si>
  <si>
    <t>G&amp;A</t>
  </si>
  <si>
    <t>General &amp; Administrative</t>
  </si>
  <si>
    <t>Customer Support</t>
  </si>
  <si>
    <t>Professional Services</t>
  </si>
  <si>
    <t>Sales Commissions</t>
  </si>
  <si>
    <t>Contractors</t>
  </si>
  <si>
    <t>Marketing Programs</t>
  </si>
  <si>
    <t>Events &amp; Conferences</t>
  </si>
  <si>
    <t>Legal Fees</t>
  </si>
  <si>
    <t>Audit &amp; Tax Fees</t>
  </si>
  <si>
    <t>Rent &amp; Facilities</t>
  </si>
  <si>
    <t>Depreciation &amp; Amortization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</si>
  <si>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</si>
  <si>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</si>
  <si>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</si>
  <si>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</si>
  <si>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</si>
  <si>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</si>
  <si>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</si>
  <si>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</si>
  <si>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</si>
  <si>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</si>
  <si>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</si>
  <si>
    <t>JE #</t>
  </si>
  <si>
    <t>Date</t>
  </si>
  <si>
    <t>Vendor / Customer</t>
  </si>
  <si>
    <t>Description</t>
  </si>
  <si>
    <t>JE-SEP-4101</t>
  </si>
  <si>
    <t>2026-09-30</t>
  </si>
  <si>
    <t>Orion Grocers</t>
  </si>
  <si>
    <t>Subscription revenue – ratable recognition</t>
  </si>
  <si>
    <t>JE-SEP-4102</t>
  </si>
  <si>
    <t>Pinecrest Health</t>
  </si>
  <si>
    <t>JE-SEP-4103</t>
  </si>
  <si>
    <t>Atlas Manufacturing</t>
  </si>
  <si>
    <t>JE-SEP-4104</t>
  </si>
  <si>
    <t>Keystone Mutual</t>
  </si>
  <si>
    <t>JE-SEP-4105</t>
  </si>
  <si>
    <t>Bramblewood Foods</t>
  </si>
  <si>
    <t>JE-SEP-4106</t>
  </si>
  <si>
    <t>Tidewater Ports</t>
  </si>
  <si>
    <t>JE-SEP-4107</t>
  </si>
  <si>
    <t>Sterling Freightways</t>
  </si>
  <si>
    <t>JE-SEP-4108</t>
  </si>
  <si>
    <t>Calder Biotech</t>
  </si>
  <si>
    <t>JE-SEP-4109</t>
  </si>
  <si>
    <t>Northgate Retail</t>
  </si>
  <si>
    <t>JE-SEP-4110</t>
  </si>
  <si>
    <t>JE-SEP-4111</t>
  </si>
  <si>
    <t>Redfield Logistics</t>
  </si>
  <si>
    <t>JE-SEP-4112</t>
  </si>
  <si>
    <t>Ashby Pharma</t>
  </si>
  <si>
    <t>JE-SEP-4113</t>
  </si>
  <si>
    <t>Vantage Cold Chain</t>
  </si>
  <si>
    <t>JE-SEP-4114</t>
  </si>
  <si>
    <t>Copperline Distribution</t>
  </si>
  <si>
    <t>JE-SEP-4115</t>
  </si>
  <si>
    <t>Meridian Outfitters</t>
  </si>
  <si>
    <t>JE-SEP-4116</t>
  </si>
  <si>
    <t>Various (612 customers)</t>
  </si>
  <si>
    <t>Subscription revenue – all other customers</t>
  </si>
  <si>
    <t>JE-SEP-4117</t>
  </si>
  <si>
    <t>Halvorsen Freight</t>
  </si>
  <si>
    <t>Contract terminated eff. 9/1 – no Sep revenue (prior run-rate $116.7K/mo)</t>
  </si>
  <si>
    <t>JE-SEP-4118</t>
  </si>
  <si>
    <t>Implementation – Phase 2 milestone</t>
  </si>
  <si>
    <t>JE-SEP-4119</t>
  </si>
  <si>
    <t>Implementation – go-live</t>
  </si>
  <si>
    <t>JE-SEP-4120</t>
  </si>
  <si>
    <t>Data migration services</t>
  </si>
  <si>
    <t>JE-SEP-4121</t>
  </si>
  <si>
    <t>Training &amp; enablement</t>
  </si>
  <si>
    <t>JE-SEP-4122</t>
  </si>
  <si>
    <t>Implementation – go-live milestone DEFERRED to Nov (customer data not ready)</t>
  </si>
  <si>
    <t>JE-SEP-4123</t>
  </si>
  <si>
    <t>Implementation – UAT milestone DEFERRED to Oct (customer SSO config delay)</t>
  </si>
  <si>
    <t>JE-SEP-4124</t>
  </si>
  <si>
    <t>Various</t>
  </si>
  <si>
    <t>T&amp;M services – other customers</t>
  </si>
  <si>
    <t>JE-SEP-4125</t>
  </si>
  <si>
    <t>2026-09-02</t>
  </si>
  <si>
    <t>JE-SEP-4126</t>
  </si>
  <si>
    <t>2026-09-24</t>
  </si>
  <si>
    <t>JE-SEP-4127</t>
  </si>
  <si>
    <t>Observability platform – monthly</t>
  </si>
  <si>
    <t>JE-SEP-4128</t>
  </si>
  <si>
    <t>CDN &amp; WAF – monthly</t>
  </si>
  <si>
    <t>JE-SEP-4129</t>
  </si>
  <si>
    <t>2026-09-25</t>
  </si>
  <si>
    <t>Customer analytics warehouse – usage</t>
  </si>
  <si>
    <t>JE-SEP-4130</t>
  </si>
  <si>
    <t>2026-09-07</t>
  </si>
  <si>
    <t>JE-SEP-4131</t>
  </si>
  <si>
    <t>2026-09-22</t>
  </si>
  <si>
    <t>Embedded third-party licenses (mapping, e-sign, SMS)</t>
  </si>
  <si>
    <t>JE-SEP-4132</t>
  </si>
  <si>
    <t>2026-09-20</t>
  </si>
  <si>
    <t>Payroll run 9/15</t>
  </si>
  <si>
    <t>JE-SEP-4133</t>
  </si>
  <si>
    <t>2026-09-26</t>
  </si>
  <si>
    <t>Payroll run 9/30</t>
  </si>
  <si>
    <t>JE-SEP-4138</t>
  </si>
  <si>
    <t>2026-09-28</t>
  </si>
  <si>
    <t>JE-SEP-4139</t>
  </si>
  <si>
    <t>2026-09-12</t>
  </si>
  <si>
    <t>JE-SEP-4144</t>
  </si>
  <si>
    <t>2026-09-15</t>
  </si>
  <si>
    <t>JE-SEP-4145</t>
  </si>
  <si>
    <t>2026-09-19</t>
  </si>
  <si>
    <t>JE-SEP-4150</t>
  </si>
  <si>
    <t>2026-09-03</t>
  </si>
  <si>
    <t>JE-SEP-4151</t>
  </si>
  <si>
    <t>2026-09-14</t>
  </si>
  <si>
    <t>JE-SEP-4157</t>
  </si>
  <si>
    <t>JE-SEP-4158</t>
  </si>
  <si>
    <t>JE-SEP-4163</t>
  </si>
  <si>
    <t>2026-09-23</t>
  </si>
  <si>
    <t>JE-SEP-4164</t>
  </si>
  <si>
    <t>2026-09-17</t>
  </si>
  <si>
    <t>JE-SEP-4169</t>
  </si>
  <si>
    <t>JE-SEP-4170</t>
  </si>
  <si>
    <t>JE-SEP-4134</t>
  </si>
  <si>
    <t>Employer taxes &amp; benefits</t>
  </si>
  <si>
    <t>JE-SEP-4140</t>
  </si>
  <si>
    <t>JE-SEP-4146</t>
  </si>
  <si>
    <t>JE-SEP-4152</t>
  </si>
  <si>
    <t>JE-SEP-4159</t>
  </si>
  <si>
    <t>JE-SEP-4165</t>
  </si>
  <si>
    <t>JE-SEP-4171</t>
  </si>
  <si>
    <t>JE-SEP-9001</t>
  </si>
  <si>
    <t>Commission accrual</t>
  </si>
  <si>
    <t>Sep commissions @ 11% of $4.48M new+expansion bookings</t>
  </si>
  <si>
    <t>JE-SEP-9002</t>
  </si>
  <si>
    <t>Q3 accelerator true-up: Q3 bookings $7.90M vs plan $6.86M</t>
  </si>
  <si>
    <t>JE-SEP-4175</t>
  </si>
  <si>
    <t>2026-09-06</t>
  </si>
  <si>
    <t>Brightline Dev Studio</t>
  </si>
  <si>
    <t>Contract engineers – platform team (covering open reqs)</t>
  </si>
  <si>
    <t>JE-SEP-4176</t>
  </si>
  <si>
    <t>2026-09-05</t>
  </si>
  <si>
    <t>Contractors – ongoing</t>
  </si>
  <si>
    <t>JE-SEP-4177</t>
  </si>
  <si>
    <t>2026-09-29</t>
  </si>
  <si>
    <t>Implementation subcontractors</t>
  </si>
  <si>
    <t>JE-SEP-4135</t>
  </si>
  <si>
    <t>2026-09-10</t>
  </si>
  <si>
    <t>SaaS tools &amp; seat licenses</t>
  </si>
  <si>
    <t>JE-SEP-4141</t>
  </si>
  <si>
    <t>JE-SEP-4147</t>
  </si>
  <si>
    <t>2026-09-09</t>
  </si>
  <si>
    <t>JE-SEP-4153</t>
  </si>
  <si>
    <t>JE-SEP-4160</t>
  </si>
  <si>
    <t>2026-09-13</t>
  </si>
  <si>
    <t>JE-SEP-4166</t>
  </si>
  <si>
    <t>JE-SEP-4172</t>
  </si>
  <si>
    <t>JE-SEP-4136</t>
  </si>
  <si>
    <t>Travel &amp; entertainment – card program</t>
  </si>
  <si>
    <t>JE-SEP-4142</t>
  </si>
  <si>
    <t>2026-09-27</t>
  </si>
  <si>
    <t>JE-SEP-4148</t>
  </si>
  <si>
    <t>JE-SEP-4154</t>
  </si>
  <si>
    <t>2026-09-08</t>
  </si>
  <si>
    <t>JE-SEP-4161</t>
  </si>
  <si>
    <t>JE-SEP-4167</t>
  </si>
  <si>
    <t>JE-SEP-4173</t>
  </si>
  <si>
    <t>JE-SEP-4178</t>
  </si>
  <si>
    <t>Paid digital</t>
  </si>
  <si>
    <t>JE-SEP-4179</t>
  </si>
  <si>
    <t>Content, webinars, intent data</t>
  </si>
  <si>
    <t>JE-SEP-4180</t>
  </si>
  <si>
    <t>CloudConnect Expo LLC</t>
  </si>
  <si>
    <t>CloudConnect 2026 (Sep 22–24) – booth, sponsorship, attendee passes</t>
  </si>
  <si>
    <t>JE-SEP-4181</t>
  </si>
  <si>
    <t>Event travel, swag, field events</t>
  </si>
  <si>
    <t>JE-SEP-4182</t>
  </si>
  <si>
    <t>Whitford &amp; Lane LLP</t>
  </si>
  <si>
    <t>Litigation – Brightpath (former reseller) contract dispute; settled 9/26</t>
  </si>
  <si>
    <t>JE-SEP-4183</t>
  </si>
  <si>
    <t>Corbett Halloran LLP</t>
  </si>
  <si>
    <t>General corporate counsel – monthly</t>
  </si>
  <si>
    <t>JE-SEP-4184</t>
  </si>
  <si>
    <t>Grant &amp; Mercer CPAs</t>
  </si>
  <si>
    <t>Quarterly review &amp; tax provision</t>
  </si>
  <si>
    <t>JE-SEP-4185</t>
  </si>
  <si>
    <t>2026-09-18</t>
  </si>
  <si>
    <t>Harborview Properties</t>
  </si>
  <si>
    <t>HQ lease &amp; facilities – Philadelphia</t>
  </si>
  <si>
    <t>JE-SEP-9003</t>
  </si>
  <si>
    <t>Fixed asset system</t>
  </si>
  <si>
    <t>Monthly depreciation</t>
  </si>
  <si>
    <t>JE-SEP-4137</t>
  </si>
  <si>
    <t>Job postings &amp; ATS</t>
  </si>
  <si>
    <t>JE-SEP-4143</t>
  </si>
  <si>
    <t>JE-SEP-4149</t>
  </si>
  <si>
    <t>2026-09-21</t>
  </si>
  <si>
    <t>JE-SEP-4155</t>
  </si>
  <si>
    <t>Hollis Talent Partners</t>
  </si>
  <si>
    <t>Agency placement fees – 3 Sr. Engineer hires (20% of base)</t>
  </si>
  <si>
    <t>JE-SEP-4156</t>
  </si>
  <si>
    <t>JE-SEP-4162</t>
  </si>
  <si>
    <t>JE-SEP-4168</t>
  </si>
  <si>
    <t>JE-SEP-4174</t>
  </si>
  <si>
    <t>Employee ID</t>
  </si>
  <si>
    <t>Name</t>
  </si>
  <si>
    <t>Req ID</t>
  </si>
  <si>
    <t>Title</t>
  </si>
  <si>
    <t>Level</t>
  </si>
  <si>
    <t>Annual Base Salary</t>
  </si>
  <si>
    <t>Start Date</t>
  </si>
  <si>
    <t>Term Date</t>
  </si>
  <si>
    <t>Planned_Start (Budget)</t>
  </si>
  <si>
    <t>E1001</t>
  </si>
  <si>
    <t>Remy Nguyen</t>
  </si>
  <si>
    <t>Account Executive</t>
  </si>
  <si>
    <t>IC2</t>
  </si>
  <si>
    <t>Terminated</t>
  </si>
  <si>
    <t>2022-09-15</t>
  </si>
  <si>
    <t>2026-03-15</t>
  </si>
  <si>
    <t>E1002</t>
  </si>
  <si>
    <t>Lane Fischer</t>
  </si>
  <si>
    <t>Sales Engineer</t>
  </si>
  <si>
    <t>IC3</t>
  </si>
  <si>
    <t>Active</t>
  </si>
  <si>
    <t>2019-12-15</t>
  </si>
  <si>
    <t>E1003</t>
  </si>
  <si>
    <t>Dakota Kowalski</t>
  </si>
  <si>
    <t>Mgr</t>
  </si>
  <si>
    <t>2024-04-01</t>
  </si>
  <si>
    <t>E1004</t>
  </si>
  <si>
    <t>Drew Silva</t>
  </si>
  <si>
    <t>Sales Development Rep</t>
  </si>
  <si>
    <t>IC1</t>
  </si>
  <si>
    <t>2022-05-01</t>
  </si>
  <si>
    <t>E1005</t>
  </si>
  <si>
    <t>Noel Dubois</t>
  </si>
  <si>
    <t>Sr. Account Executive</t>
  </si>
  <si>
    <t>2025-04-01</t>
  </si>
  <si>
    <t>E1006</t>
  </si>
  <si>
    <t>Corin Nguyen</t>
  </si>
  <si>
    <t>2024-10-15</t>
  </si>
  <si>
    <t>E1007</t>
  </si>
  <si>
    <t>Casey Abbott</t>
  </si>
  <si>
    <t>IC4</t>
  </si>
  <si>
    <t>2024-02-01</t>
  </si>
  <si>
    <t>E1008</t>
  </si>
  <si>
    <t>Wren Kowalski</t>
  </si>
  <si>
    <t>2025-09-01</t>
  </si>
  <si>
    <t>E1009</t>
  </si>
  <si>
    <t>Finley Brennan</t>
  </si>
  <si>
    <t>2022-05-15</t>
  </si>
  <si>
    <t>E1010</t>
  </si>
  <si>
    <t>Lane Haddad</t>
  </si>
  <si>
    <t>2018-05-01</t>
  </si>
  <si>
    <t>E1011</t>
  </si>
  <si>
    <t>Briar Fischer</t>
  </si>
  <si>
    <t>2022-06-15</t>
  </si>
  <si>
    <t>E1012</t>
  </si>
  <si>
    <t>Kai Okafor</t>
  </si>
  <si>
    <t>2018-10-01</t>
  </si>
  <si>
    <t>E1013</t>
  </si>
  <si>
    <t>Corin Novak</t>
  </si>
  <si>
    <t>2022-06-01</t>
  </si>
  <si>
    <t>E1014</t>
  </si>
  <si>
    <t>Quinn Sato</t>
  </si>
  <si>
    <t>2018-12-15</t>
  </si>
  <si>
    <t>E1015</t>
  </si>
  <si>
    <t>Peyton Garcia</t>
  </si>
  <si>
    <t>2022-04-15</t>
  </si>
  <si>
    <t>E1016</t>
  </si>
  <si>
    <t>Hayden Castillo</t>
  </si>
  <si>
    <t>2022-12-01</t>
  </si>
  <si>
    <t>E1017</t>
  </si>
  <si>
    <t>Blake Brennan</t>
  </si>
  <si>
    <t>2025-05-01</t>
  </si>
  <si>
    <t>E1018</t>
  </si>
  <si>
    <t>Casey Brennan</t>
  </si>
  <si>
    <t>2018-09-01</t>
  </si>
  <si>
    <t>E1019</t>
  </si>
  <si>
    <t>Dakota Moreau</t>
  </si>
  <si>
    <t>2025-12-01</t>
  </si>
  <si>
    <t>E1020</t>
  </si>
  <si>
    <t>Remy Novak</t>
  </si>
  <si>
    <t>E1021</t>
  </si>
  <si>
    <t>Marley Ibrahim</t>
  </si>
  <si>
    <t>Sales Manager</t>
  </si>
  <si>
    <t>2025-09-15</t>
  </si>
  <si>
    <t>E1022</t>
  </si>
  <si>
    <t>Logan Romero</t>
  </si>
  <si>
    <t>2023-01-01</t>
  </si>
  <si>
    <t>E1023</t>
  </si>
  <si>
    <t>Oakley Nguyen</t>
  </si>
  <si>
    <t>2021-10-15</t>
  </si>
  <si>
    <t>E1024</t>
  </si>
  <si>
    <t>Hayden Kim</t>
  </si>
  <si>
    <t>E1025</t>
  </si>
  <si>
    <t>Tatum Silva</t>
  </si>
  <si>
    <t>2025-07-01</t>
  </si>
  <si>
    <t>E1026</t>
  </si>
  <si>
    <t>Alex Rossi</t>
  </si>
  <si>
    <t>2020-08-15</t>
  </si>
  <si>
    <t>E1027</t>
  </si>
  <si>
    <t>Riley Larsen</t>
  </si>
  <si>
    <t>2024-01-01</t>
  </si>
  <si>
    <t>E1028</t>
  </si>
  <si>
    <t>Hayden Ibrahim</t>
  </si>
  <si>
    <t>2021-05-15</t>
  </si>
  <si>
    <t>E1029</t>
  </si>
  <si>
    <t>Peyton Schmidt</t>
  </si>
  <si>
    <t>2019-09-01</t>
  </si>
  <si>
    <t>E1030</t>
  </si>
  <si>
    <t>Avery Fischer</t>
  </si>
  <si>
    <t>2023-06-15</t>
  </si>
  <si>
    <t>E1031</t>
  </si>
  <si>
    <t>Riley Abbott</t>
  </si>
  <si>
    <t>2019-06-15</t>
  </si>
  <si>
    <t>E1032</t>
  </si>
  <si>
    <t>Skyler Zhang</t>
  </si>
  <si>
    <t>2019-05-15</t>
  </si>
  <si>
    <t>E1033</t>
  </si>
  <si>
    <t>Rowan Patel</t>
  </si>
  <si>
    <t>2023-05-01</t>
  </si>
  <si>
    <t>E1034</t>
  </si>
  <si>
    <t>Peyton Larsen</t>
  </si>
  <si>
    <t>E1035</t>
  </si>
  <si>
    <t>Wren Abbott</t>
  </si>
  <si>
    <t>2024-11-15</t>
  </si>
  <si>
    <t>E1036</t>
  </si>
  <si>
    <t>Casey Kowalski</t>
  </si>
  <si>
    <t>2020-08-01</t>
  </si>
  <si>
    <t>E1037</t>
  </si>
  <si>
    <t>Harper Romero</t>
  </si>
  <si>
    <t>E1038</t>
  </si>
  <si>
    <t>Cameron Garcia</t>
  </si>
  <si>
    <t>2020-03-01</t>
  </si>
  <si>
    <t>E1039</t>
  </si>
  <si>
    <t>Finley Yilmaz</t>
  </si>
  <si>
    <t>2022-03-01</t>
  </si>
  <si>
    <t>E1040</t>
  </si>
  <si>
    <t>2019-02-15</t>
  </si>
  <si>
    <t>E1041</t>
  </si>
  <si>
    <t>Sawyer Nguyen</t>
  </si>
  <si>
    <t>2021-12-15</t>
  </si>
  <si>
    <t>E1042</t>
  </si>
  <si>
    <t>Morgan Ibrahim</t>
  </si>
  <si>
    <t>2019-04-01</t>
  </si>
  <si>
    <t>E1043</t>
  </si>
  <si>
    <t>Tatum Dubois</t>
  </si>
  <si>
    <t>2020-07-01</t>
  </si>
  <si>
    <t>E1044</t>
  </si>
  <si>
    <t>Sawyer Ibrahim</t>
  </si>
  <si>
    <t>E1045</t>
  </si>
  <si>
    <t>Taylor Rossi</t>
  </si>
  <si>
    <t>2020-05-15</t>
  </si>
  <si>
    <t>E1046</t>
  </si>
  <si>
    <t>Arden Walsh</t>
  </si>
  <si>
    <t>2018-08-15</t>
  </si>
  <si>
    <t>E1047</t>
  </si>
  <si>
    <t>Jesse Silva</t>
  </si>
  <si>
    <t>2018-11-15</t>
  </si>
  <si>
    <t>E1048</t>
  </si>
  <si>
    <t>Parker Abbott</t>
  </si>
  <si>
    <t>2023-04-01</t>
  </si>
  <si>
    <t>E1049</t>
  </si>
  <si>
    <t>Noel Rossi</t>
  </si>
  <si>
    <t>2021-08-01</t>
  </si>
  <si>
    <t>E1050</t>
  </si>
  <si>
    <t>Cameron Zhang</t>
  </si>
  <si>
    <t>2022-02-15</t>
  </si>
  <si>
    <t>E1051</t>
  </si>
  <si>
    <t>Hayden Dubois</t>
  </si>
  <si>
    <t>Dir</t>
  </si>
  <si>
    <t>2023-09-15</t>
  </si>
  <si>
    <t>E1052</t>
  </si>
  <si>
    <t>Phoenix Moreau</t>
  </si>
  <si>
    <t>E1053</t>
  </si>
  <si>
    <t>Avery Silva</t>
  </si>
  <si>
    <t>2020-11-15</t>
  </si>
  <si>
    <t>E1054</t>
  </si>
  <si>
    <t>Jesse Yilmaz</t>
  </si>
  <si>
    <t>2023-08-15</t>
  </si>
  <si>
    <t>E1055</t>
  </si>
  <si>
    <t>Tatum Moreau</t>
  </si>
  <si>
    <t>2022-01-01</t>
  </si>
  <si>
    <t>2026-07-15</t>
  </si>
  <si>
    <t>E1056</t>
  </si>
  <si>
    <t>Marley Larsen</t>
  </si>
  <si>
    <t>E1057</t>
  </si>
  <si>
    <t>Hayden Romero</t>
  </si>
  <si>
    <t>E1058</t>
  </si>
  <si>
    <t>Taylor Mensah</t>
  </si>
  <si>
    <t>2025-10-15</t>
  </si>
  <si>
    <t>E1059</t>
  </si>
  <si>
    <t>Hayden Okafor</t>
  </si>
  <si>
    <t>E1060</t>
  </si>
  <si>
    <t>Elliot Castillo</t>
  </si>
  <si>
    <t>E1061</t>
  </si>
  <si>
    <t>Oakley Walsh</t>
  </si>
  <si>
    <t>2020-03-15</t>
  </si>
  <si>
    <t>E1062</t>
  </si>
  <si>
    <t>Drew Garcia</t>
  </si>
  <si>
    <t>2024-05-01</t>
  </si>
  <si>
    <t>E1063</t>
  </si>
  <si>
    <t>Sawyer Sato</t>
  </si>
  <si>
    <t>E1064</t>
  </si>
  <si>
    <t>Finley Rossi</t>
  </si>
  <si>
    <t>2018-07-15</t>
  </si>
  <si>
    <t>E1065</t>
  </si>
  <si>
    <t>2021-03-15</t>
  </si>
  <si>
    <t>E1066</t>
  </si>
  <si>
    <t>Logan Kim</t>
  </si>
  <si>
    <t>E1067</t>
  </si>
  <si>
    <t>Reese Brennan</t>
  </si>
  <si>
    <t>E1068</t>
  </si>
  <si>
    <t>Riley Chen</t>
  </si>
  <si>
    <t>E1069</t>
  </si>
  <si>
    <t>Reese Walsh</t>
  </si>
  <si>
    <t>2019-08-01</t>
  </si>
  <si>
    <t>E1070</t>
  </si>
  <si>
    <t>Casey Garcia</t>
  </si>
  <si>
    <t>2024-04-15</t>
  </si>
  <si>
    <t>E1071</t>
  </si>
  <si>
    <t>Cameron Silva</t>
  </si>
  <si>
    <t>2025-07-15</t>
  </si>
  <si>
    <t>E1072</t>
  </si>
  <si>
    <t>Drew Schmidt</t>
  </si>
  <si>
    <t>2020-10-01</t>
  </si>
  <si>
    <t>E1073</t>
  </si>
  <si>
    <t>Rowan Silva</t>
  </si>
  <si>
    <t>2018-02-01</t>
  </si>
  <si>
    <t>E1074</t>
  </si>
  <si>
    <t>Alex Walsh</t>
  </si>
  <si>
    <t>E1075</t>
  </si>
  <si>
    <t>Tatum Abbott</t>
  </si>
  <si>
    <t>2021-03-01</t>
  </si>
  <si>
    <t>E1076</t>
  </si>
  <si>
    <t>Casey Yilmaz</t>
  </si>
  <si>
    <t>E1077</t>
  </si>
  <si>
    <t>Harper Castillo</t>
  </si>
  <si>
    <t>E1078</t>
  </si>
  <si>
    <t>Blake Ibrahim</t>
  </si>
  <si>
    <t>E1079</t>
  </si>
  <si>
    <t>Harper Ibrahim</t>
  </si>
  <si>
    <t>2024-12-01</t>
  </si>
  <si>
    <t>E1080</t>
  </si>
  <si>
    <t>Drew Romero</t>
  </si>
  <si>
    <t>2020-01-01</t>
  </si>
  <si>
    <t>E1081</t>
  </si>
  <si>
    <t>Hayden Brennan</t>
  </si>
  <si>
    <t>E1082</t>
  </si>
  <si>
    <t>Parker Silva</t>
  </si>
  <si>
    <t>2021-02-01</t>
  </si>
  <si>
    <t>E1083</t>
  </si>
  <si>
    <t>Lane Zhang</t>
  </si>
  <si>
    <t>E1084</t>
  </si>
  <si>
    <t>Noel Moreau</t>
  </si>
  <si>
    <t>E1085</t>
  </si>
  <si>
    <t>Tatum Rossi</t>
  </si>
  <si>
    <t>2020-12-01</t>
  </si>
  <si>
    <t>E1086</t>
  </si>
  <si>
    <t>Wren Patel</t>
  </si>
  <si>
    <t>E1087</t>
  </si>
  <si>
    <t>Tatum Larsen</t>
  </si>
  <si>
    <t>E1088</t>
  </si>
  <si>
    <t>Blake Walsh</t>
  </si>
  <si>
    <t>E1089</t>
  </si>
  <si>
    <t>Hayden Walsh</t>
  </si>
  <si>
    <t>2023-03-01</t>
  </si>
  <si>
    <t>E1090</t>
  </si>
  <si>
    <t>Sawyer Brennan</t>
  </si>
  <si>
    <t>2021-12-01</t>
  </si>
  <si>
    <t>E1091</t>
  </si>
  <si>
    <t>Dakota Silva</t>
  </si>
  <si>
    <t>E1092</t>
  </si>
  <si>
    <t>Noel Fischer</t>
  </si>
  <si>
    <t>2018-03-15</t>
  </si>
  <si>
    <t>E1093</t>
  </si>
  <si>
    <t>Wren Haddad</t>
  </si>
  <si>
    <t>Demand Gen Specialist</t>
  </si>
  <si>
    <t>E1094</t>
  </si>
  <si>
    <t>Skyler Petrov</t>
  </si>
  <si>
    <t>Product Marketing Manager</t>
  </si>
  <si>
    <t>2025-03-01</t>
  </si>
  <si>
    <t>E1095</t>
  </si>
  <si>
    <t>Drew Petrov</t>
  </si>
  <si>
    <t>Content Strategist</t>
  </si>
  <si>
    <t>E1096</t>
  </si>
  <si>
    <t>Taylor Haddad</t>
  </si>
  <si>
    <t>2023-12-15</t>
  </si>
  <si>
    <t>E1097</t>
  </si>
  <si>
    <t>Briar Schmidt</t>
  </si>
  <si>
    <t>2018-04-01</t>
  </si>
  <si>
    <t>E1098</t>
  </si>
  <si>
    <t>Kai Tanaka</t>
  </si>
  <si>
    <t>2025-01-15</t>
  </si>
  <si>
    <t>E1099</t>
  </si>
  <si>
    <t>Corin Abbott</t>
  </si>
  <si>
    <t>E1100</t>
  </si>
  <si>
    <t>2020-05-01</t>
  </si>
  <si>
    <t>E1101</t>
  </si>
  <si>
    <t>Sawyer Silva</t>
  </si>
  <si>
    <t>E1102</t>
  </si>
  <si>
    <t>Dakota Alvarez</t>
  </si>
  <si>
    <t>2019-02-01</t>
  </si>
  <si>
    <t>E1103</t>
  </si>
  <si>
    <t>Sawyer Zhang</t>
  </si>
  <si>
    <t>E1104</t>
  </si>
  <si>
    <t>Noel Novak</t>
  </si>
  <si>
    <t>2020-02-15</t>
  </si>
  <si>
    <t>2026-06-15</t>
  </si>
  <si>
    <t>E1105</t>
  </si>
  <si>
    <t>Jordan Chen</t>
  </si>
  <si>
    <t>2022-11-01</t>
  </si>
  <si>
    <t>E1106</t>
  </si>
  <si>
    <t>E1107</t>
  </si>
  <si>
    <t>Skyler Patel</t>
  </si>
  <si>
    <t>2021-04-01</t>
  </si>
  <si>
    <t>E1108</t>
  </si>
  <si>
    <t>Reese Nguyen</t>
  </si>
  <si>
    <t>2025-01-01</t>
  </si>
  <si>
    <t>E1109</t>
  </si>
  <si>
    <t>Quinn Castillo</t>
  </si>
  <si>
    <t>2020-06-01</t>
  </si>
  <si>
    <t>E1110</t>
  </si>
  <si>
    <t>Hayden Yilmaz</t>
  </si>
  <si>
    <t>Marketing Manager</t>
  </si>
  <si>
    <t>2019-09-15</t>
  </si>
  <si>
    <t>E1111</t>
  </si>
  <si>
    <t>2020-06-15</t>
  </si>
  <si>
    <t>E1112</t>
  </si>
  <si>
    <t>Reese Haddad</t>
  </si>
  <si>
    <t>2022-02-01</t>
  </si>
  <si>
    <t>E1113</t>
  </si>
  <si>
    <t>Sawyer Okafor</t>
  </si>
  <si>
    <t>E1114</t>
  </si>
  <si>
    <t>2019-03-15</t>
  </si>
  <si>
    <t>E1115</t>
  </si>
  <si>
    <t>Jesse Tanaka</t>
  </si>
  <si>
    <t>2021-10-01</t>
  </si>
  <si>
    <t>E1116</t>
  </si>
  <si>
    <t>Avery Zhang</t>
  </si>
  <si>
    <t>2021-04-15</t>
  </si>
  <si>
    <t>E1117</t>
  </si>
  <si>
    <t>Arden Tanaka</t>
  </si>
  <si>
    <t>2021-01-15</t>
  </si>
  <si>
    <t>E1118</t>
  </si>
  <si>
    <t>Parker Ibrahim</t>
  </si>
  <si>
    <t>E1119</t>
  </si>
  <si>
    <t>Elliot Kowalski</t>
  </si>
  <si>
    <t>E1120</t>
  </si>
  <si>
    <t>Emerson Larsen</t>
  </si>
  <si>
    <t>E1121</t>
  </si>
  <si>
    <t>Rowan Kim</t>
  </si>
  <si>
    <t>Renewals Specialist</t>
  </si>
  <si>
    <t>2018-01-15</t>
  </si>
  <si>
    <t>E1122</t>
  </si>
  <si>
    <t>Sr. CSM</t>
  </si>
  <si>
    <t>E1123</t>
  </si>
  <si>
    <t>Corin Schmidt</t>
  </si>
  <si>
    <t>Customer Success Manager</t>
  </si>
  <si>
    <t>E1124</t>
  </si>
  <si>
    <t>Phoenix Castillo</t>
  </si>
  <si>
    <t>E1125</t>
  </si>
  <si>
    <t>Riley Silva</t>
  </si>
  <si>
    <t>E1126</t>
  </si>
  <si>
    <t>2026-08-15</t>
  </si>
  <si>
    <t>E1127</t>
  </si>
  <si>
    <t>Phoenix Ibrahim</t>
  </si>
  <si>
    <t>E1128</t>
  </si>
  <si>
    <t>Casey Novak</t>
  </si>
  <si>
    <t>2019-04-15</t>
  </si>
  <si>
    <t>E1129</t>
  </si>
  <si>
    <t>Cameron Sato</t>
  </si>
  <si>
    <t>2019-03-01</t>
  </si>
  <si>
    <t>E1130</t>
  </si>
  <si>
    <t>Noel Schmidt</t>
  </si>
  <si>
    <t>2023-06-01</t>
  </si>
  <si>
    <t>E1131</t>
  </si>
  <si>
    <t>Hayden Petrov</t>
  </si>
  <si>
    <t>2025-02-01</t>
  </si>
  <si>
    <t>E1132</t>
  </si>
  <si>
    <t>Corin Sato</t>
  </si>
  <si>
    <t>2022-07-15</t>
  </si>
  <si>
    <t>E1133</t>
  </si>
  <si>
    <t>Parker Sato</t>
  </si>
  <si>
    <t>E1134</t>
  </si>
  <si>
    <t>Briar Larsen</t>
  </si>
  <si>
    <t>E1135</t>
  </si>
  <si>
    <t>Logan Nguyen</t>
  </si>
  <si>
    <t>2018-11-01</t>
  </si>
  <si>
    <t>E1136</t>
  </si>
  <si>
    <t>Briar Garcia</t>
  </si>
  <si>
    <t>2023-02-15</t>
  </si>
  <si>
    <t>E1137</t>
  </si>
  <si>
    <t>Arden Murphy</t>
  </si>
  <si>
    <t>2018-06-01</t>
  </si>
  <si>
    <t>E1138</t>
  </si>
  <si>
    <t>Corin Alvarez</t>
  </si>
  <si>
    <t>2021-02-15</t>
  </si>
  <si>
    <t>E1139</t>
  </si>
  <si>
    <t>Kai Larsen</t>
  </si>
  <si>
    <t>E1140</t>
  </si>
  <si>
    <t>Logan Walsh</t>
  </si>
  <si>
    <t>2023-03-15</t>
  </si>
  <si>
    <t>E1141</t>
  </si>
  <si>
    <t>Morgan Nguyen</t>
  </si>
  <si>
    <t>2021-07-15</t>
  </si>
  <si>
    <t>E1142</t>
  </si>
  <si>
    <t>Quinn Schmidt</t>
  </si>
  <si>
    <t>E1143</t>
  </si>
  <si>
    <t>Emerson Tanaka</t>
  </si>
  <si>
    <t>2022-11-15</t>
  </si>
  <si>
    <t>E1144</t>
  </si>
  <si>
    <t>Briar Sato</t>
  </si>
  <si>
    <t>E1145</t>
  </si>
  <si>
    <t>2021-09-15</t>
  </si>
  <si>
    <t>E1146</t>
  </si>
  <si>
    <t>Marley Mensah</t>
  </si>
  <si>
    <t>E1147</t>
  </si>
  <si>
    <t>Quinn Yilmaz</t>
  </si>
  <si>
    <t>E1148</t>
  </si>
  <si>
    <t>Corin Dubois</t>
  </si>
  <si>
    <t>2021-06-15</t>
  </si>
  <si>
    <t>E1149</t>
  </si>
  <si>
    <t>Sage Tanaka</t>
  </si>
  <si>
    <t>E1150</t>
  </si>
  <si>
    <t>Remy Yilmaz</t>
  </si>
  <si>
    <t>E1151</t>
  </si>
  <si>
    <t>Jordan Schmidt</t>
  </si>
  <si>
    <t>E1152</t>
  </si>
  <si>
    <t>Kendall Murphy</t>
  </si>
  <si>
    <t>2024-02-15</t>
  </si>
  <si>
    <t>E1153</t>
  </si>
  <si>
    <t>Parker Rossi</t>
  </si>
  <si>
    <t>E1154</t>
  </si>
  <si>
    <t>Harper Chen</t>
  </si>
  <si>
    <t>E1155</t>
  </si>
  <si>
    <t>Wren Rossi</t>
  </si>
  <si>
    <t>E1156</t>
  </si>
  <si>
    <t>Remy Murphy</t>
  </si>
  <si>
    <t>2024-06-15</t>
  </si>
  <si>
    <t>E1157</t>
  </si>
  <si>
    <t>Taylor Patel</t>
  </si>
  <si>
    <t>Software Engineer</t>
  </si>
  <si>
    <t>2021-11-15</t>
  </si>
  <si>
    <t>E1158</t>
  </si>
  <si>
    <t>Phoenix Romero</t>
  </si>
  <si>
    <t>Sr. Software Engineer</t>
  </si>
  <si>
    <t>E1159</t>
  </si>
  <si>
    <t>Staff Engineer</t>
  </si>
  <si>
    <t>E1160</t>
  </si>
  <si>
    <t>Jordan Garcia</t>
  </si>
  <si>
    <t>Product Manager</t>
  </si>
  <si>
    <t>E1161</t>
  </si>
  <si>
    <t>Avery Kim</t>
  </si>
  <si>
    <t>Engineering Manager</t>
  </si>
  <si>
    <t>2024-11-01</t>
  </si>
  <si>
    <t>E1162</t>
  </si>
  <si>
    <t>Riley Patel</t>
  </si>
  <si>
    <t>E1163</t>
  </si>
  <si>
    <t>Quinn Murphy</t>
  </si>
  <si>
    <t>E1164</t>
  </si>
  <si>
    <t>Hayden Nguyen</t>
  </si>
  <si>
    <t>2022-09-01</t>
  </si>
  <si>
    <t>E1165</t>
  </si>
  <si>
    <t>Briar Silva</t>
  </si>
  <si>
    <t>2021-09-01</t>
  </si>
  <si>
    <t>E1166</t>
  </si>
  <si>
    <t>Morgan Novak</t>
  </si>
  <si>
    <t>E1167</t>
  </si>
  <si>
    <t>QA Engineer</t>
  </si>
  <si>
    <t>2019-12-01</t>
  </si>
  <si>
    <t>E1168</t>
  </si>
  <si>
    <t>Parker Larsen</t>
  </si>
  <si>
    <t>2022-01-15</t>
  </si>
  <si>
    <t>E1169</t>
  </si>
  <si>
    <t>Rowan Schmidt</t>
  </si>
  <si>
    <t>E1170</t>
  </si>
  <si>
    <t>Oakley Fischer</t>
  </si>
  <si>
    <t>E1171</t>
  </si>
  <si>
    <t>E1172</t>
  </si>
  <si>
    <t>Briar Walsh</t>
  </si>
  <si>
    <t>2019-10-15</t>
  </si>
  <si>
    <t>E1173</t>
  </si>
  <si>
    <t>Corin Kowalski</t>
  </si>
  <si>
    <t>2019-11-01</t>
  </si>
  <si>
    <t>E1174</t>
  </si>
  <si>
    <t>Elliot Alvarez</t>
  </si>
  <si>
    <t>E1175</t>
  </si>
  <si>
    <t>Elliot Zhang</t>
  </si>
  <si>
    <t>E1176</t>
  </si>
  <si>
    <t>Kendall Garcia</t>
  </si>
  <si>
    <t>2024-07-15</t>
  </si>
  <si>
    <t>E1177</t>
  </si>
  <si>
    <t>Quinn Dubois</t>
  </si>
  <si>
    <t>E1178</t>
  </si>
  <si>
    <t>Morgan Romero</t>
  </si>
  <si>
    <t>2025-04-15</t>
  </si>
  <si>
    <t>E1179</t>
  </si>
  <si>
    <t>Remy Alvarez</t>
  </si>
  <si>
    <t>E1180</t>
  </si>
  <si>
    <t>Dakota Tanaka</t>
  </si>
  <si>
    <t>2022-12-15</t>
  </si>
  <si>
    <t>E1181</t>
  </si>
  <si>
    <t>Tatum Fischer</t>
  </si>
  <si>
    <t>2018-07-01</t>
  </si>
  <si>
    <t>E1182</t>
  </si>
  <si>
    <t>Elliot Rossi</t>
  </si>
  <si>
    <t>Product Designer</t>
  </si>
  <si>
    <t>2018-03-01</t>
  </si>
  <si>
    <t>E1183</t>
  </si>
  <si>
    <t>Noel Garcia</t>
  </si>
  <si>
    <t>2025-03-15</t>
  </si>
  <si>
    <t>E1184</t>
  </si>
  <si>
    <t>Taylor Abbott</t>
  </si>
  <si>
    <t>E1185</t>
  </si>
  <si>
    <t>Noel Patel</t>
  </si>
  <si>
    <t>2025-08-15</t>
  </si>
  <si>
    <t>E1186</t>
  </si>
  <si>
    <t>Arden Brennan</t>
  </si>
  <si>
    <t>2019-08-15</t>
  </si>
  <si>
    <t>E1187</t>
  </si>
  <si>
    <t>Emerson Schmidt</t>
  </si>
  <si>
    <t>2024-03-01</t>
  </si>
  <si>
    <t>E1188</t>
  </si>
  <si>
    <t>Marley Patel</t>
  </si>
  <si>
    <t>E1189</t>
  </si>
  <si>
    <t>Rowan Ibrahim</t>
  </si>
  <si>
    <t>E1190</t>
  </si>
  <si>
    <t>Rowan Kowalski</t>
  </si>
  <si>
    <t>E1191</t>
  </si>
  <si>
    <t>Quinn Zhang</t>
  </si>
  <si>
    <t>E1192</t>
  </si>
  <si>
    <t>Skyler Sato</t>
  </si>
  <si>
    <t>E1193</t>
  </si>
  <si>
    <t>Skyler Castillo</t>
  </si>
  <si>
    <t>E1194</t>
  </si>
  <si>
    <t>E1195</t>
  </si>
  <si>
    <t>2022-08-01</t>
  </si>
  <si>
    <t>E1196</t>
  </si>
  <si>
    <t>E1197</t>
  </si>
  <si>
    <t>2024-09-15</t>
  </si>
  <si>
    <t>E1198</t>
  </si>
  <si>
    <t>Taylor Kowalski</t>
  </si>
  <si>
    <t>E1199</t>
  </si>
  <si>
    <t>Quinn Kim</t>
  </si>
  <si>
    <t>E1200</t>
  </si>
  <si>
    <t>Taylor Tanaka</t>
  </si>
  <si>
    <t>E1201</t>
  </si>
  <si>
    <t>Rowan Moreau</t>
  </si>
  <si>
    <t>E1202</t>
  </si>
  <si>
    <t>Corin Silva</t>
  </si>
  <si>
    <t>2021-07-01</t>
  </si>
  <si>
    <t>E1203</t>
  </si>
  <si>
    <t>Jesse Haddad</t>
  </si>
  <si>
    <t>2022-03-15</t>
  </si>
  <si>
    <t>E1204</t>
  </si>
  <si>
    <t>Jesse Nguyen</t>
  </si>
  <si>
    <t>E1205</t>
  </si>
  <si>
    <t>Phoenix Patel</t>
  </si>
  <si>
    <t>2024-09-01</t>
  </si>
  <si>
    <t>E1206</t>
  </si>
  <si>
    <t>Logan Murphy</t>
  </si>
  <si>
    <t>E1207</t>
  </si>
  <si>
    <t>Blake Alvarez</t>
  </si>
  <si>
    <t>E1208</t>
  </si>
  <si>
    <t>E1209</t>
  </si>
  <si>
    <t>Riley Ibrahim</t>
  </si>
  <si>
    <t>E1210</t>
  </si>
  <si>
    <t>E1211</t>
  </si>
  <si>
    <t>Alex Murphy</t>
  </si>
  <si>
    <t>2025-08-01</t>
  </si>
  <si>
    <t>E1212</t>
  </si>
  <si>
    <t>Lane Castillo</t>
  </si>
  <si>
    <t>E1213</t>
  </si>
  <si>
    <t>Dakota Okafor</t>
  </si>
  <si>
    <t>E1214</t>
  </si>
  <si>
    <t>Parker Alvarez</t>
  </si>
  <si>
    <t>2025-02-15</t>
  </si>
  <si>
    <t>E1215</t>
  </si>
  <si>
    <t>E1216</t>
  </si>
  <si>
    <t>Jesse Zhang</t>
  </si>
  <si>
    <t>2020-11-01</t>
  </si>
  <si>
    <t>E1217</t>
  </si>
  <si>
    <t>Noel Zhang</t>
  </si>
  <si>
    <t>E1218</t>
  </si>
  <si>
    <t>2018-02-15</t>
  </si>
  <si>
    <t>E1219</t>
  </si>
  <si>
    <t>Briar Haddad</t>
  </si>
  <si>
    <t>2025-12-15</t>
  </si>
  <si>
    <t>E1220</t>
  </si>
  <si>
    <t>E1221</t>
  </si>
  <si>
    <t>Taylor Ibrahim</t>
  </si>
  <si>
    <t>2022-10-15</t>
  </si>
  <si>
    <t>E1222</t>
  </si>
  <si>
    <t>Corin Ibrahim</t>
  </si>
  <si>
    <t>E1223</t>
  </si>
  <si>
    <t>Parker Murphy</t>
  </si>
  <si>
    <t>E1224</t>
  </si>
  <si>
    <t>Avery Novak</t>
  </si>
  <si>
    <t>2023-01-15</t>
  </si>
  <si>
    <t>E1225</t>
  </si>
  <si>
    <t>Jesse Chen</t>
  </si>
  <si>
    <t>E1226</t>
  </si>
  <si>
    <t>Marley Nguyen</t>
  </si>
  <si>
    <t>2024-10-01</t>
  </si>
  <si>
    <t>E1227</t>
  </si>
  <si>
    <t>Riley Romero</t>
  </si>
  <si>
    <t>E1228</t>
  </si>
  <si>
    <t>Hayden Zhang</t>
  </si>
  <si>
    <t>E1229</t>
  </si>
  <si>
    <t>Hayden Murphy</t>
  </si>
  <si>
    <t>2025-11-01</t>
  </si>
  <si>
    <t>E1230</t>
  </si>
  <si>
    <t>Wren Silva</t>
  </si>
  <si>
    <t>2018-04-15</t>
  </si>
  <si>
    <t>E1231</t>
  </si>
  <si>
    <t>Alex Zhang</t>
  </si>
  <si>
    <t>2020-09-15</t>
  </si>
  <si>
    <t>E1232</t>
  </si>
  <si>
    <t>Jamie Kim</t>
  </si>
  <si>
    <t>E1233</t>
  </si>
  <si>
    <t>Sage Schmidt</t>
  </si>
  <si>
    <t>E1234</t>
  </si>
  <si>
    <t>Arden Fischer</t>
  </si>
  <si>
    <t>E1235</t>
  </si>
  <si>
    <t>Skyler Romero</t>
  </si>
  <si>
    <t>E1236</t>
  </si>
  <si>
    <t>2024-06-01</t>
  </si>
  <si>
    <t>E1237</t>
  </si>
  <si>
    <t>Taylor Silva</t>
  </si>
  <si>
    <t>E1238</t>
  </si>
  <si>
    <t>Kendall Fischer</t>
  </si>
  <si>
    <t>E1239</t>
  </si>
  <si>
    <t>Noel Abbott</t>
  </si>
  <si>
    <t>2020-04-01</t>
  </si>
  <si>
    <t>E1240</t>
  </si>
  <si>
    <t>E1241</t>
  </si>
  <si>
    <t>E1242</t>
  </si>
  <si>
    <t>E1243</t>
  </si>
  <si>
    <t>Rowan Tanaka</t>
  </si>
  <si>
    <t>E1244</t>
  </si>
  <si>
    <t>Emerson Ibrahim</t>
  </si>
  <si>
    <t>E1245</t>
  </si>
  <si>
    <t>Kai Nguyen</t>
  </si>
  <si>
    <t>2021-06-01</t>
  </si>
  <si>
    <t>E1246</t>
  </si>
  <si>
    <t>Drew Mensah</t>
  </si>
  <si>
    <t>E1247</t>
  </si>
  <si>
    <t>Reese Patel</t>
  </si>
  <si>
    <t>2024-12-15</t>
  </si>
  <si>
    <t>E1248</t>
  </si>
  <si>
    <t>Emerson Castillo</t>
  </si>
  <si>
    <t>E1249</t>
  </si>
  <si>
    <t>E1250</t>
  </si>
  <si>
    <t>Logan Castillo</t>
  </si>
  <si>
    <t>E1251</t>
  </si>
  <si>
    <t>2021-11-01</t>
  </si>
  <si>
    <t>E1252</t>
  </si>
  <si>
    <t>Alex Fischer</t>
  </si>
  <si>
    <t>E1253</t>
  </si>
  <si>
    <t>Peyton Haddad</t>
  </si>
  <si>
    <t>E1254</t>
  </si>
  <si>
    <t>Logan Schmidt</t>
  </si>
  <si>
    <t>E1255</t>
  </si>
  <si>
    <t>Phoenix Murphy</t>
  </si>
  <si>
    <t>E1256</t>
  </si>
  <si>
    <t>2023-02-01</t>
  </si>
  <si>
    <t>E1257</t>
  </si>
  <si>
    <t>Noel Romero</t>
  </si>
  <si>
    <t>E1258</t>
  </si>
  <si>
    <t>Reese Alvarez</t>
  </si>
  <si>
    <t>E1259</t>
  </si>
  <si>
    <t>E1260</t>
  </si>
  <si>
    <t>2023-10-15</t>
  </si>
  <si>
    <t>E1261</t>
  </si>
  <si>
    <t>Marley Sato</t>
  </si>
  <si>
    <t>E1262</t>
  </si>
  <si>
    <t>Alex Silva</t>
  </si>
  <si>
    <t>E1263</t>
  </si>
  <si>
    <t>Skyler Alvarez</t>
  </si>
  <si>
    <t>E1264</t>
  </si>
  <si>
    <t>Kendall Sato</t>
  </si>
  <si>
    <t>E1265</t>
  </si>
  <si>
    <t>Cameron Kim</t>
  </si>
  <si>
    <t>E1266</t>
  </si>
  <si>
    <t>Finley Patel</t>
  </si>
  <si>
    <t>2020-04-15</t>
  </si>
  <si>
    <t>E1267</t>
  </si>
  <si>
    <t>E1268</t>
  </si>
  <si>
    <t>Oakley Brennan</t>
  </si>
  <si>
    <t>E1269</t>
  </si>
  <si>
    <t>Marley Zhang</t>
  </si>
  <si>
    <t>E1270</t>
  </si>
  <si>
    <t>E1271</t>
  </si>
  <si>
    <t>Remy Moreau</t>
  </si>
  <si>
    <t>E1272</t>
  </si>
  <si>
    <t>Peyton Castillo</t>
  </si>
  <si>
    <t>E1273</t>
  </si>
  <si>
    <t>E1274</t>
  </si>
  <si>
    <t>2020-02-01</t>
  </si>
  <si>
    <t>E1275</t>
  </si>
  <si>
    <t>Rowan Castillo</t>
  </si>
  <si>
    <t>E1276</t>
  </si>
  <si>
    <t>Reese Zhang</t>
  </si>
  <si>
    <t>E1277</t>
  </si>
  <si>
    <t>Elliot Murphy</t>
  </si>
  <si>
    <t>E1278</t>
  </si>
  <si>
    <t>E1279</t>
  </si>
  <si>
    <t>Jamie Romero</t>
  </si>
  <si>
    <t>E1280</t>
  </si>
  <si>
    <t>Jordan Larsen</t>
  </si>
  <si>
    <t>E1281</t>
  </si>
  <si>
    <t>Parker Schmidt</t>
  </si>
  <si>
    <t>2025-06-15</t>
  </si>
  <si>
    <t>E1282</t>
  </si>
  <si>
    <t>Skyler Haddad</t>
  </si>
  <si>
    <t>E1283</t>
  </si>
  <si>
    <t>Lane Alvarez</t>
  </si>
  <si>
    <t>E1284</t>
  </si>
  <si>
    <t>Dakota Rossi</t>
  </si>
  <si>
    <t>E1285</t>
  </si>
  <si>
    <t>Sage Romero</t>
  </si>
  <si>
    <t>2023-07-01</t>
  </si>
  <si>
    <t>E1286</t>
  </si>
  <si>
    <t>Kai Petrov</t>
  </si>
  <si>
    <t>E1287</t>
  </si>
  <si>
    <t>Drew Zhang</t>
  </si>
  <si>
    <t>2018-06-15</t>
  </si>
  <si>
    <t>E1288</t>
  </si>
  <si>
    <t>E1289</t>
  </si>
  <si>
    <t>Kai Schmidt</t>
  </si>
  <si>
    <t>E1290</t>
  </si>
  <si>
    <t>Arden Larsen</t>
  </si>
  <si>
    <t>E1291</t>
  </si>
  <si>
    <t>E1292</t>
  </si>
  <si>
    <t>Finley Okafor</t>
  </si>
  <si>
    <t>E1293</t>
  </si>
  <si>
    <t>Remy Abbott</t>
  </si>
  <si>
    <t>E1294</t>
  </si>
  <si>
    <t>Phoenix Petrov</t>
  </si>
  <si>
    <t>E1295</t>
  </si>
  <si>
    <t>Noel Kim</t>
  </si>
  <si>
    <t>E1296</t>
  </si>
  <si>
    <t>Parker Mensah</t>
  </si>
  <si>
    <t>E1297</t>
  </si>
  <si>
    <t>Alex Schmidt</t>
  </si>
  <si>
    <t>E1298</t>
  </si>
  <si>
    <t>Briar Patel</t>
  </si>
  <si>
    <t>E1299</t>
  </si>
  <si>
    <t>Harper Abbott</t>
  </si>
  <si>
    <t>E1300</t>
  </si>
  <si>
    <t>Alex Novak</t>
  </si>
  <si>
    <t>E1301</t>
  </si>
  <si>
    <t>Jesse Schmidt</t>
  </si>
  <si>
    <t>E1302</t>
  </si>
  <si>
    <t>Alex Ibrahim</t>
  </si>
  <si>
    <t>E1303</t>
  </si>
  <si>
    <t>Peyton Kim</t>
  </si>
  <si>
    <t>2024-08-15</t>
  </si>
  <si>
    <t>E1304</t>
  </si>
  <si>
    <t>Elliot Fischer</t>
  </si>
  <si>
    <t>2019-06-01</t>
  </si>
  <si>
    <t>E1305</t>
  </si>
  <si>
    <t>Cameron Tanaka</t>
  </si>
  <si>
    <t>2018-10-15</t>
  </si>
  <si>
    <t>E1306</t>
  </si>
  <si>
    <t>Jamie Garcia</t>
  </si>
  <si>
    <t>E1307</t>
  </si>
  <si>
    <t>IT Specialist</t>
  </si>
  <si>
    <t>E1308</t>
  </si>
  <si>
    <t>Jamie Moreau</t>
  </si>
  <si>
    <t>Sr. Financial Analyst</t>
  </si>
  <si>
    <t>E1309</t>
  </si>
  <si>
    <t>Paralegal</t>
  </si>
  <si>
    <t>E1310</t>
  </si>
  <si>
    <t>Elliot Mensah</t>
  </si>
  <si>
    <t>Accountant</t>
  </si>
  <si>
    <t>E1311</t>
  </si>
  <si>
    <t>HR Business Partner</t>
  </si>
  <si>
    <t>E1312</t>
  </si>
  <si>
    <t>Parker Castillo</t>
  </si>
  <si>
    <t>2025-06-01</t>
  </si>
  <si>
    <t>E1313</t>
  </si>
  <si>
    <t>Arden Kim</t>
  </si>
  <si>
    <t>E1314</t>
  </si>
  <si>
    <t>Peyton Yilmaz</t>
  </si>
  <si>
    <t>E1315</t>
  </si>
  <si>
    <t>2020-10-15</t>
  </si>
  <si>
    <t>E1316</t>
  </si>
  <si>
    <t>Phoenix Chen</t>
  </si>
  <si>
    <t>E1317</t>
  </si>
  <si>
    <t>Rowan Haddad</t>
  </si>
  <si>
    <t>E1318</t>
  </si>
  <si>
    <t>E1319</t>
  </si>
  <si>
    <t>E1320</t>
  </si>
  <si>
    <t>Phoenix Dubois</t>
  </si>
  <si>
    <t>Recruiter</t>
  </si>
  <si>
    <t>2024-03-15</t>
  </si>
  <si>
    <t>E1321</t>
  </si>
  <si>
    <t>E1322</t>
  </si>
  <si>
    <t>2018-09-15</t>
  </si>
  <si>
    <t>E1323</t>
  </si>
  <si>
    <t>Phoenix Nguyen</t>
  </si>
  <si>
    <t>E1324</t>
  </si>
  <si>
    <t>Corin Romero</t>
  </si>
  <si>
    <t>E1325</t>
  </si>
  <si>
    <t>Finley Nguyen</t>
  </si>
  <si>
    <t>E1326</t>
  </si>
  <si>
    <t>Finley Walsh</t>
  </si>
  <si>
    <t>E1327</t>
  </si>
  <si>
    <t>E1328</t>
  </si>
  <si>
    <t>Harper Garcia</t>
  </si>
  <si>
    <t>E1329</t>
  </si>
  <si>
    <t>Briar Yilmaz</t>
  </si>
  <si>
    <t>E1330</t>
  </si>
  <si>
    <t>E1331</t>
  </si>
  <si>
    <t>Avery Alvarez</t>
  </si>
  <si>
    <t>E1332</t>
  </si>
  <si>
    <t>Oakley Abbott</t>
  </si>
  <si>
    <t>E1333</t>
  </si>
  <si>
    <t>E1334</t>
  </si>
  <si>
    <t>Taylor Chen</t>
  </si>
  <si>
    <t>E1335</t>
  </si>
  <si>
    <t>Jamie Ibrahim</t>
  </si>
  <si>
    <t>2019-10-01</t>
  </si>
  <si>
    <t>E1336</t>
  </si>
  <si>
    <t>Avery Haddad</t>
  </si>
  <si>
    <t>E1337</t>
  </si>
  <si>
    <t>Blake Chen</t>
  </si>
  <si>
    <t>E1338</t>
  </si>
  <si>
    <t>Blake Romero</t>
  </si>
  <si>
    <t>E1339</t>
  </si>
  <si>
    <t>2022-08-15</t>
  </si>
  <si>
    <t>E1340</t>
  </si>
  <si>
    <t>Tatum Garcia</t>
  </si>
  <si>
    <t>E1341</t>
  </si>
  <si>
    <t>Tatum Patel</t>
  </si>
  <si>
    <t>2019-01-15</t>
  </si>
  <si>
    <t>E1342</t>
  </si>
  <si>
    <t>Logan Rossi</t>
  </si>
  <si>
    <t>E1343</t>
  </si>
  <si>
    <t>Blake Mensah</t>
  </si>
  <si>
    <t>E1344</t>
  </si>
  <si>
    <t>Phoenix Mensah</t>
  </si>
  <si>
    <t>E1345</t>
  </si>
  <si>
    <t>Sage Murphy</t>
  </si>
  <si>
    <t>E1346</t>
  </si>
  <si>
    <t>Logan Chen</t>
  </si>
  <si>
    <t>2023-11-15</t>
  </si>
  <si>
    <t>E1347</t>
  </si>
  <si>
    <t>Tatum Nguyen</t>
  </si>
  <si>
    <t>2023-12-01</t>
  </si>
  <si>
    <t>E1348</t>
  </si>
  <si>
    <t>E1349</t>
  </si>
  <si>
    <t>Support Specialist</t>
  </si>
  <si>
    <t>E1350</t>
  </si>
  <si>
    <t>Phoenix Silva</t>
  </si>
  <si>
    <t>Sr. Support Specialist</t>
  </si>
  <si>
    <t>E1351</t>
  </si>
  <si>
    <t>Kendall Okafor</t>
  </si>
  <si>
    <t>E1352</t>
  </si>
  <si>
    <t>Kai Yilmaz</t>
  </si>
  <si>
    <t>E1353</t>
  </si>
  <si>
    <t>Support Team Lead</t>
  </si>
  <si>
    <t>E1354</t>
  </si>
  <si>
    <t>Drew Patel</t>
  </si>
  <si>
    <t>E1355</t>
  </si>
  <si>
    <t>E1356</t>
  </si>
  <si>
    <t>Finley Romero</t>
  </si>
  <si>
    <t>E1357</t>
  </si>
  <si>
    <t>2023-10-01</t>
  </si>
  <si>
    <t>E1358</t>
  </si>
  <si>
    <t>Peyton Ibrahim</t>
  </si>
  <si>
    <t>E1359</t>
  </si>
  <si>
    <t>Finley Castillo</t>
  </si>
  <si>
    <t>E1360</t>
  </si>
  <si>
    <t>Emerson Walsh</t>
  </si>
  <si>
    <t>E1361</t>
  </si>
  <si>
    <t>Reese Castillo</t>
  </si>
  <si>
    <t>E1362</t>
  </si>
  <si>
    <t>Sage Brennan</t>
  </si>
  <si>
    <t>E1363</t>
  </si>
  <si>
    <t>Lane Silva</t>
  </si>
  <si>
    <t>E1364</t>
  </si>
  <si>
    <t>Blake Kim</t>
  </si>
  <si>
    <t>E1365</t>
  </si>
  <si>
    <t>Peyton Fischer</t>
  </si>
  <si>
    <t>E1366</t>
  </si>
  <si>
    <t>Arden Castillo</t>
  </si>
  <si>
    <t>2021-01-01</t>
  </si>
  <si>
    <t>E1367</t>
  </si>
  <si>
    <t>E1368</t>
  </si>
  <si>
    <t>Drew Rossi</t>
  </si>
  <si>
    <t>E1369</t>
  </si>
  <si>
    <t>E1370</t>
  </si>
  <si>
    <t>Jamie Chen</t>
  </si>
  <si>
    <t>E1371</t>
  </si>
  <si>
    <t>Noel Chen</t>
  </si>
  <si>
    <t>E1372</t>
  </si>
  <si>
    <t>Taylor Brennan</t>
  </si>
  <si>
    <t>2023-08-01</t>
  </si>
  <si>
    <t>E1373</t>
  </si>
  <si>
    <t>Jordan Yilmaz</t>
  </si>
  <si>
    <t>E1374</t>
  </si>
  <si>
    <t>E1375</t>
  </si>
  <si>
    <t>Peyton Walsh</t>
  </si>
  <si>
    <t>E1376</t>
  </si>
  <si>
    <t>Elliot Chen</t>
  </si>
  <si>
    <t>E1377</t>
  </si>
  <si>
    <t>Wren Dubois</t>
  </si>
  <si>
    <t>2022-10-01</t>
  </si>
  <si>
    <t>E1378</t>
  </si>
  <si>
    <t>E1379</t>
  </si>
  <si>
    <t>E1380</t>
  </si>
  <si>
    <t>Briar Castillo</t>
  </si>
  <si>
    <t>E1381</t>
  </si>
  <si>
    <t>Rowan Sato</t>
  </si>
  <si>
    <t>2022-04-01</t>
  </si>
  <si>
    <t>E1382</t>
  </si>
  <si>
    <t>E1383</t>
  </si>
  <si>
    <t>Jordan Dubois</t>
  </si>
  <si>
    <t>E1384</t>
  </si>
  <si>
    <t>Taylor Larsen</t>
  </si>
  <si>
    <t>E1385</t>
  </si>
  <si>
    <t>Sawyer Kim</t>
  </si>
  <si>
    <t>E1386</t>
  </si>
  <si>
    <t>Finley Schmidt</t>
  </si>
  <si>
    <t>2026-05-15</t>
  </si>
  <si>
    <t>E1387</t>
  </si>
  <si>
    <t>E1388</t>
  </si>
  <si>
    <t>Briar Mensah</t>
  </si>
  <si>
    <t>E1389</t>
  </si>
  <si>
    <t>Implementation Consultant</t>
  </si>
  <si>
    <t>E1390</t>
  </si>
  <si>
    <t>Solutions Architect</t>
  </si>
  <si>
    <t>E1391</t>
  </si>
  <si>
    <t>Logan Brennan</t>
  </si>
  <si>
    <t>E1392</t>
  </si>
  <si>
    <t>Jamie Petrov</t>
  </si>
  <si>
    <t>E1393</t>
  </si>
  <si>
    <t>Sr. Implementation Consultant</t>
  </si>
  <si>
    <t>E1394</t>
  </si>
  <si>
    <t>2025-05-15</t>
  </si>
  <si>
    <t>E1395</t>
  </si>
  <si>
    <t>Skyler Okafor</t>
  </si>
  <si>
    <t>E1396</t>
  </si>
  <si>
    <t>E1397</t>
  </si>
  <si>
    <t>Dakota Ibrahim</t>
  </si>
  <si>
    <t>E1398</t>
  </si>
  <si>
    <t>Quinn Chen</t>
  </si>
  <si>
    <t>E1399</t>
  </si>
  <si>
    <t>Hayden Abbott</t>
  </si>
  <si>
    <t>2023-05-15</t>
  </si>
  <si>
    <t>E1400</t>
  </si>
  <si>
    <t>Finley Petrov</t>
  </si>
  <si>
    <t>E1401</t>
  </si>
  <si>
    <t>E1402</t>
  </si>
  <si>
    <t>2020-07-15</t>
  </si>
  <si>
    <t>E1403</t>
  </si>
  <si>
    <t>E1404</t>
  </si>
  <si>
    <t>Finley Kowalski</t>
  </si>
  <si>
    <t>2023-07-15</t>
  </si>
  <si>
    <t>E1405</t>
  </si>
  <si>
    <t>Oakley Petrov</t>
  </si>
  <si>
    <t>E1406</t>
  </si>
  <si>
    <t>Elliot Schmidt</t>
  </si>
  <si>
    <t>E1407</t>
  </si>
  <si>
    <t>E1408</t>
  </si>
  <si>
    <t>Noel Haddad</t>
  </si>
  <si>
    <t>E1409</t>
  </si>
  <si>
    <t>2019-11-15</t>
  </si>
  <si>
    <t>E1410</t>
  </si>
  <si>
    <t>Corin Castillo</t>
  </si>
  <si>
    <t>E1411</t>
  </si>
  <si>
    <t>Blake Novak</t>
  </si>
  <si>
    <t>E1412</t>
  </si>
  <si>
    <t>Rowan Murphy</t>
  </si>
  <si>
    <t>E1413</t>
  </si>
  <si>
    <t>Noel Nguyen</t>
  </si>
  <si>
    <t>E1414</t>
  </si>
  <si>
    <t>Morgan Garcia</t>
  </si>
  <si>
    <t>2019-01-01</t>
  </si>
  <si>
    <t>E1415</t>
  </si>
  <si>
    <t>Blake Abbott</t>
  </si>
  <si>
    <t>E1416</t>
  </si>
  <si>
    <t>Dakota Sato</t>
  </si>
  <si>
    <t>2021-08-15</t>
  </si>
  <si>
    <t>E1417</t>
  </si>
  <si>
    <t>REQ-26-001</t>
  </si>
  <si>
    <t>2026-02-15</t>
  </si>
  <si>
    <t>2026-02-01</t>
  </si>
  <si>
    <t>E1418</t>
  </si>
  <si>
    <t>Jamie Silva</t>
  </si>
  <si>
    <t>REQ-26-002</t>
  </si>
  <si>
    <t>2026-01-15</t>
  </si>
  <si>
    <t>2026-01-01</t>
  </si>
  <si>
    <t>E1419</t>
  </si>
  <si>
    <t>Alex Castillo</t>
  </si>
  <si>
    <t>REQ-26-003</t>
  </si>
  <si>
    <t>E1420</t>
  </si>
  <si>
    <t>Hayden Tanaka</t>
  </si>
  <si>
    <t>REQ-26-004</t>
  </si>
  <si>
    <t>2026-04-15</t>
  </si>
  <si>
    <t>2026-03-01</t>
  </si>
  <si>
    <t>E1421</t>
  </si>
  <si>
    <t>Corin Fischer</t>
  </si>
  <si>
    <t>REQ-26-005</t>
  </si>
  <si>
    <t>2026-04-01</t>
  </si>
  <si>
    <t>E1422</t>
  </si>
  <si>
    <t>Elliot Novak</t>
  </si>
  <si>
    <t>REQ-26-006</t>
  </si>
  <si>
    <t>E1423</t>
  </si>
  <si>
    <t>Elliot Kim</t>
  </si>
  <si>
    <t>REQ-26-007</t>
  </si>
  <si>
    <t>E1424</t>
  </si>
  <si>
    <t>Sage Okafor</t>
  </si>
  <si>
    <t>REQ-26-008</t>
  </si>
  <si>
    <t>2026-06-01</t>
  </si>
  <si>
    <t>2026-05-01</t>
  </si>
  <si>
    <t>E1425</t>
  </si>
  <si>
    <t>REQ-26-009</t>
  </si>
  <si>
    <t>E1426</t>
  </si>
  <si>
    <t>Harper Zhang</t>
  </si>
  <si>
    <t>REQ-26-010</t>
  </si>
  <si>
    <t>E1427</t>
  </si>
  <si>
    <t>REQ-26-011</t>
  </si>
  <si>
    <t>2026-08-01</t>
  </si>
  <si>
    <t>2026-07-01</t>
  </si>
  <si>
    <t>E1428</t>
  </si>
  <si>
    <t>Logan Sato</t>
  </si>
  <si>
    <t>REQ-26-012</t>
  </si>
  <si>
    <t>E1429</t>
  </si>
  <si>
    <t>Drew Chen</t>
  </si>
  <si>
    <t>REQ-26-013</t>
  </si>
  <si>
    <t>E1430</t>
  </si>
  <si>
    <t>Peyton Novak</t>
  </si>
  <si>
    <t>REQ-26-014</t>
  </si>
  <si>
    <t>(open)</t>
  </si>
  <si>
    <t>REQ-26-015</t>
  </si>
  <si>
    <t>Open Req</t>
  </si>
  <si>
    <t>2026-09-01</t>
  </si>
  <si>
    <t>REQ-26-016</t>
  </si>
  <si>
    <t>2026-10-01</t>
  </si>
  <si>
    <t>REQ-26-017</t>
  </si>
  <si>
    <t>REQ-26-018</t>
  </si>
  <si>
    <t>2026-11-01</t>
  </si>
  <si>
    <t>E1435</t>
  </si>
  <si>
    <t>REQ-26-019</t>
  </si>
  <si>
    <t>E1436</t>
  </si>
  <si>
    <t>Corin Walsh</t>
  </si>
  <si>
    <t>REQ-26-020</t>
  </si>
  <si>
    <t>E1437</t>
  </si>
  <si>
    <t>Jamie Novak</t>
  </si>
  <si>
    <t>REQ-26-021</t>
  </si>
  <si>
    <t>E1438</t>
  </si>
  <si>
    <t>REQ-26-022</t>
  </si>
  <si>
    <t>E1439</t>
  </si>
  <si>
    <t>REQ-26-023</t>
  </si>
  <si>
    <t>E1440</t>
  </si>
  <si>
    <t>Logan Fischer</t>
  </si>
  <si>
    <t>REQ-26-024</t>
  </si>
  <si>
    <t>E1441</t>
  </si>
  <si>
    <t>REQ-26-025</t>
  </si>
  <si>
    <t>E1442</t>
  </si>
  <si>
    <t>REQ-26-026</t>
  </si>
  <si>
    <t>E1443</t>
  </si>
  <si>
    <t>Parker Yilmaz</t>
  </si>
  <si>
    <t>REQ-26-027</t>
  </si>
  <si>
    <t>REQ-26-028</t>
  </si>
  <si>
    <t>E1445</t>
  </si>
  <si>
    <t>Kai Walsh</t>
  </si>
  <si>
    <t>REQ-26-029</t>
  </si>
  <si>
    <t>E1446</t>
  </si>
  <si>
    <t>Rowan Nguyen</t>
  </si>
  <si>
    <t>REQ-26-030</t>
  </si>
  <si>
    <t>E1447</t>
  </si>
  <si>
    <t>REQ-26-031</t>
  </si>
  <si>
    <t>E1448</t>
  </si>
  <si>
    <t>Remy Chen</t>
  </si>
  <si>
    <t>REQ-26-032</t>
  </si>
  <si>
    <t>E1449</t>
  </si>
  <si>
    <t>Remy Rossi</t>
  </si>
  <si>
    <t>REQ-26-033</t>
  </si>
  <si>
    <t>E1450</t>
  </si>
  <si>
    <t>Casey Okafor</t>
  </si>
  <si>
    <t>REQ-26-034</t>
  </si>
  <si>
    <t>E1451</t>
  </si>
  <si>
    <t>Alex Brennan</t>
  </si>
  <si>
    <t>REQ-26-035</t>
  </si>
  <si>
    <t>E1452</t>
  </si>
  <si>
    <t>REQ-26-036</t>
  </si>
  <si>
    <t>E1453</t>
  </si>
  <si>
    <t>REQ-26-037</t>
  </si>
  <si>
    <t>E1454</t>
  </si>
  <si>
    <t>REQ-26-038</t>
  </si>
  <si>
    <t>REQ-26-039</t>
  </si>
  <si>
    <t>REQ-26-040</t>
  </si>
  <si>
    <t>REQ-26-041</t>
  </si>
  <si>
    <t>REQ-26-042</t>
  </si>
  <si>
    <t>REQ-26-043</t>
  </si>
  <si>
    <t>REQ-26-044</t>
  </si>
  <si>
    <t>E1461</t>
  </si>
  <si>
    <t>Tatum Kowalski</t>
  </si>
  <si>
    <t>REQ-26-045</t>
  </si>
  <si>
    <t>REQ-26-046</t>
  </si>
  <si>
    <t>REQ-26-047</t>
  </si>
  <si>
    <t>REQ-26-048</t>
  </si>
  <si>
    <t>REQ-26-049</t>
  </si>
  <si>
    <t>REQ-26-050</t>
  </si>
  <si>
    <t>REQ-26-051</t>
  </si>
  <si>
    <t>REQ-26-052</t>
  </si>
  <si>
    <t>REQ-26-053</t>
  </si>
  <si>
    <t>REQ-26-054</t>
  </si>
  <si>
    <t>REQ-26-055</t>
  </si>
  <si>
    <t>REQ-26-056</t>
  </si>
  <si>
    <t>REQ-26-057</t>
  </si>
  <si>
    <t>REQ-26-058</t>
  </si>
  <si>
    <t>E1475</t>
  </si>
  <si>
    <t>Peyton Silva</t>
  </si>
  <si>
    <t>REQ-26-059</t>
  </si>
  <si>
    <t>E1476</t>
  </si>
  <si>
    <t>Corin Yilmaz</t>
  </si>
  <si>
    <t>REQ-26-060</t>
  </si>
  <si>
    <t>E1477</t>
  </si>
  <si>
    <t>Logan Abbott</t>
  </si>
  <si>
    <t>REQ-26-061</t>
  </si>
  <si>
    <t>E1478</t>
  </si>
  <si>
    <t>Rowan Brennan</t>
  </si>
  <si>
    <t>REQ-26-062</t>
  </si>
  <si>
    <t>E1479</t>
  </si>
  <si>
    <t>Finley Chen</t>
  </si>
  <si>
    <t>REQ-26-063</t>
  </si>
  <si>
    <t>E1480</t>
  </si>
  <si>
    <t>Sage Walsh</t>
  </si>
  <si>
    <t>REQ-26-064</t>
  </si>
  <si>
    <t>E1481</t>
  </si>
  <si>
    <t>Tatum Castillo</t>
  </si>
  <si>
    <t>REQ-26-065</t>
  </si>
  <si>
    <t>E1482</t>
  </si>
  <si>
    <t>Casey Murphy</t>
  </si>
  <si>
    <t>REQ-26-066</t>
  </si>
  <si>
    <t>E1483</t>
  </si>
  <si>
    <t>Casey Castillo</t>
  </si>
  <si>
    <t>REQ-26-067</t>
  </si>
  <si>
    <t>E1484</t>
  </si>
  <si>
    <t>Arden Yilmaz</t>
  </si>
  <si>
    <t>REQ-26-068</t>
  </si>
  <si>
    <t>REQ-26-069</t>
  </si>
  <si>
    <t>E1486</t>
  </si>
  <si>
    <t>Harper Nguyen</t>
  </si>
  <si>
    <t>REQ-26-070</t>
  </si>
  <si>
    <t>E1487</t>
  </si>
  <si>
    <t>REQ-26-071</t>
  </si>
  <si>
    <t>E1488</t>
  </si>
  <si>
    <t>Alex Alvarez</t>
  </si>
  <si>
    <t>REQ-26-072</t>
  </si>
  <si>
    <t>E1489</t>
  </si>
  <si>
    <t>REQ-26-073</t>
  </si>
  <si>
    <t>REQ-26-074</t>
  </si>
  <si>
    <t>Bud Opening ARR</t>
  </si>
  <si>
    <t>Bud New+Expansion</t>
  </si>
  <si>
    <t>Bud Churn</t>
  </si>
  <si>
    <t>Bud Closing ARR</t>
  </si>
  <si>
    <t>Act Opening ARR</t>
  </si>
  <si>
    <t>Act New+Expansion</t>
  </si>
  <si>
    <t>Act Churn</t>
  </si>
  <si>
    <t>Act Closing ARR</t>
  </si>
  <si>
    <t>Prof. Services Revenue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</si>
  <si>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</si>
  <si>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</si>
  <si>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</si>
  <si>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</si>
  <si>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</si>
  <si>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</si>
  <si>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</si>
  <si>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</si>
  <si>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</si>
  <si>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</si>
  <si>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</si>
  <si>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</si>
  <si>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By department: Customer Support &amp; Professional Services → Cost of Revenue; Sales, Marketing, Customer Success → Sales &amp; Marketing; R&amp;D → Research &amp; Development; G&amp;A → General &amp; Administrative</t>
  </si>
  <si>
    <t>Quillmere Systems, Inc. — FY2026 FP&amp;A Dataset</t>
  </si>
  <si>
    <t>Quillmere Systems builds supply-chain visibility software for mid-market distributors, grocers and manufacturers. HQ: Philadelphia. ~460 employees. Fiscal year = calendar year.</t>
  </si>
  <si>
    <t>All amounts positive. Variance convention at Quillmere: Favorable = revenue above budget or expense below budget.</t>
  </si>
  <si>
    <t>Month</t>
  </si>
  <si>
    <t>Line Item</t>
  </si>
  <si>
    <t>Sep Bud</t>
  </si>
  <si>
    <t>Sep Act</t>
  </si>
  <si>
    <t>$ Var</t>
  </si>
  <si>
    <t>% Var</t>
  </si>
  <si>
    <t>F/U</t>
  </si>
  <si>
    <t>YTD Bud</t>
  </si>
  <si>
    <t>YTD Act</t>
  </si>
  <si>
    <t>Total Revenue</t>
  </si>
  <si>
    <t>Gross Profit</t>
  </si>
  <si>
    <t>Gross Margin %</t>
  </si>
  <si>
    <t>Total OpEx</t>
  </si>
  <si>
    <t>Operating Income</t>
  </si>
  <si>
    <t>Operating Margin %</t>
  </si>
  <si>
    <t>-</t>
  </si>
  <si>
    <t>Check</t>
  </si>
  <si>
    <t>Material</t>
  </si>
  <si>
    <t>Driver</t>
  </si>
  <si>
    <t>What happened</t>
  </si>
  <si>
    <t>Tag</t>
  </si>
  <si>
    <t>Q4 Impact</t>
  </si>
  <si>
    <t>Timing</t>
  </si>
  <si>
    <t>Reverses in Oct: ~$365K F. Reforecast Oct Events at ~$55K, not $420K</t>
  </si>
  <si>
    <t>Commission Rate</t>
  </si>
  <si>
    <t>Subscription Revenue (below threshold)</t>
  </si>
  <si>
    <t>Halvorsen Freight terminated 9/1, $1.4M ARR</t>
  </si>
  <si>
    <t>Run-Rate</t>
  </si>
  <si>
    <t>Volume / One-Time</t>
  </si>
  <si>
    <t>Agency fees to Hollis Talent Partners for 3 Sr. Engineer hires (20% of $342.5K combined base, $68.5K); recruiting spend climbing since Jul as hiring picks up</t>
  </si>
  <si>
    <t>One-time per hire; recurs while hiring continues (19 open reqs)</t>
  </si>
  <si>
    <t>Reverses as favorable when milestones hit: Atlas in Oct, Pinecrest in Nov. Risk: both depend on the customer, so further slippage pushes revenue further; Pinecrest is the bigger risk</t>
  </si>
  <si>
    <t xml:space="preserve">One-time  </t>
  </si>
  <si>
    <r>
      <t>None expected. Case is settled, so legal returns to ~$45K/mo plan. (</t>
    </r>
    <r>
      <rPr>
        <b/>
        <i/>
        <sz val="11"/>
        <color theme="1"/>
        <rFont val="Calibri"/>
        <family val="2"/>
        <scheme val="minor"/>
      </rPr>
      <t>Confirm with Legal that no settlement payment or final invoices are still to come</t>
    </r>
    <r>
      <rPr>
        <sz val="11"/>
        <color theme="1"/>
        <rFont val="Calibri"/>
        <family val="2"/>
        <scheme val="minor"/>
      </rPr>
      <t>)</t>
    </r>
  </si>
  <si>
    <t>Two implementation milestones slipped on the customer side: Atlas Manufacturing UAT (SSO config delay) and Pinecrest Health go-live (customer data not ready). ~$220K of revenue not yet recognized</t>
  </si>
  <si>
    <t>Dual-run: One-time · Lapse: Run-rate until renewed · Creep: Run-rate</t>
  </si>
  <si>
    <t>More agency fees likely (~$23K per Sr. hire) vs only $57K budgeted Oct-Dec. The 3 new hires add ~$28.5K/mo (~$86K Q4) plus taxes/benefits. Budgeted, so it shrinks the $1.35M R&amp;D cushion rather than going over plan</t>
  </si>
  <si>
    <t>$130K volume (bookings +$1.19M at 11%) + $114K Q3 accelerator true-up</t>
  </si>
  <si>
    <t>No accelerator Oct-Nov; Dec true-up likely if Q4 beats plan (~$255K extra commissions at Q3's pace, about half accelerator); plan has $0 for accelerators</t>
  </si>
  <si>
    <t>CloudConnect (Sep 22-24, $318K) was budgeted for October; it ran ~$47K under its own plan</t>
  </si>
  <si>
    <t>Whitford &amp; Lane litigation fees for the Brightpath contract dispute, $176K; settled 9/26. Routine counsel $37K, under budget</t>
  </si>
  <si>
    <t>~$350K Q4 revenue loss</t>
  </si>
  <si>
    <t>R&amp;D Contractors (below threshold)</t>
  </si>
  <si>
    <t>Brightline Dev Studio contract engineers covering open R&amp;D reqs ($39.6K); remainder is ongoing contractors in line with plan</t>
  </si>
  <si>
    <t>Run-rate while reqs stay open</t>
  </si>
  <si>
    <t>Offsets part of the R&amp;D salary underspend, so the true R&amp;D cushion is smaller than salaries alone suggest; drops away as roles fill</t>
  </si>
  <si>
    <t>Open question for Rachel</t>
  </si>
  <si>
    <t>README states a $128.0M exit ARR target; ARR_Drivers plans $129.0M December closing ARR. Which is the official target?</t>
  </si>
  <si>
    <t>DISCLAIMER</t>
  </si>
  <si>
    <t>Frankfurt dual-run during customer migration $96.4K (Aug–Oct); Cirrovane reserved instances lapsed 8/31, on-demand premium $44.8K; ~$24K underlying creep (gap grew ~$30K Jan to ~$56K Jul, partly offset by Halvorsen exit)</t>
  </si>
  <si>
    <t>$192K–$446K U. Dual-run $96K (Oct only) + lapse $0–$134K + creep $96K–$216K. Action: renew Cirrovane reserved instances now (saves ~$45K/mo); owner: Engineering/IT lead + Procurement</t>
  </si>
  <si>
    <t>Ambergrid Utilities</t>
  </si>
  <si>
    <t>Cirrovane Cloud</t>
  </si>
  <si>
    <t>Cirrovane – EU Frankfurt region dual-run during customer migration (Aug–Oct)</t>
  </si>
  <si>
    <t>Cirrovane – on-demand premium: 1-yr reserved instances lapsed 8/31, renewal pending</t>
  </si>
  <si>
    <t>Watchkeel</t>
  </si>
  <si>
    <t>Edgeward</t>
  </si>
  <si>
    <t>Glacierline</t>
  </si>
  <si>
    <t>Cirrovane – US production usage</t>
  </si>
  <si>
    <t>Paycroft Payroll</t>
  </si>
  <si>
    <t>Journeyline Travel</t>
  </si>
  <si>
    <t>Searchly / ProNet Ads</t>
  </si>
  <si>
    <t>ProNet / Reqtrail</t>
  </si>
  <si>
    <t>For learning purposes only. Quillmere Systems is a fictional company. All people, customers, vendors, transactions, financial figures and events in this workbook were invented for training. If any name matches a real company or person, that is coincidental and nothing here describes a real transaction, relationship or price. Not financial, investment or accounting advice.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</si>
</sst>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$&quot;#,##0.00_);\(&quot;$&quot;#,##0.00\)"/>
    <numFmt numFmtId="8" formatCode="&quot;$&quot;#,##0.00_);[Red]\(&quot;$&quot;#,##0.00\)"/>
    <numFmt numFmtId="164" formatCode="0.0%;\(0.0%\);0.0%"/>
    <numFmt numFmtId="165" formatCode="#,##0.0_);\(#,##0.0\)"/>
    <numFmt numFmtId="166" formatCode="#,##0.00;\(#,##0.00\);0.00"/>
    <numFmt numFmtId="167" formatCode="&quot;$&quot;#,##0,&quot;K&quot;;\(&quot;$&quot;#,##0,&quot;K&quot;\);&quot;-&quot;"/>
  </numFmts>
  <fonts count="9" x14ac:knownFonts="1">
    <font>
      <sz val="11"/>
      <color theme="1"/>
      <name val="Calibri"/>
      <family val="2"/>
      <scheme val="minor"/>
    </font>
    <font>
      <b/>
      <sz val="14"/>
      <color rgb="FF1F3864"/>
      <name val="Calibri"/>
    </font>
    <font>
      <b/>
      <sz val="11"/>
      <name val="Calibri"/>
    </font>
    <font>
      <b/>
      <sz val="11"/>
      <color rgb="FFFFFFFF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i/>
      <sz val="11"/>
      <color theme="1"/>
      <name val="Calibri"/>
      <family val="2"/>
      <scheme val="minor"/>
    </font>
    <font>
      <b/>
      <sz val="11"/>
      <color rgb="FFB4231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3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4" fontId="0" fillId="0" borderId="0" xfId="0" applyNumberFormat="1"/>
    <xf numFmtId="3" fontId="0" fillId="0" borderId="0" xfId="0" applyNumberFormat="1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7" fontId="0" fillId="0" borderId="0" xfId="0" applyNumberFormat="1"/>
    <xf numFmtId="10" fontId="0" fillId="0" borderId="0" xfId="0" applyNumberFormat="1"/>
    <xf numFmtId="0" fontId="5" fillId="0" borderId="0" xfId="0" applyFont="1"/>
    <xf numFmtId="0" fontId="0" fillId="0" borderId="1" xfId="0" applyBorder="1"/>
    <xf numFmtId="164" fontId="0" fillId="0" borderId="0" xfId="0" applyNumberFormat="1"/>
    <xf numFmtId="0" fontId="0" fillId="0" borderId="1" xfId="0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 applyAlignment="1">
      <alignment horizontal="left"/>
    </xf>
    <xf numFmtId="164" fontId="0" fillId="0" borderId="1" xfId="0" applyNumberFormat="1" applyBorder="1" applyAlignment="1">
      <alignment horizontal="center"/>
    </xf>
    <xf numFmtId="165" fontId="0" fillId="0" borderId="0" xfId="0" applyNumberFormat="1"/>
    <xf numFmtId="0" fontId="3" fillId="2" borderId="0" xfId="0" applyFont="1" applyFill="1" applyAlignment="1">
      <alignment horizontal="left" vertical="center" wrapText="1"/>
    </xf>
    <xf numFmtId="0" fontId="0" fillId="0" borderId="0" xfId="0" applyAlignment="1">
      <alignment horizontal="left"/>
    </xf>
    <xf numFmtId="0" fontId="6" fillId="2" borderId="0" xfId="0" applyFont="1" applyFill="1" applyAlignment="1">
      <alignment horizontal="left" vertical="center" wrapText="1"/>
    </xf>
    <xf numFmtId="7" fontId="0" fillId="0" borderId="0" xfId="0" applyNumberFormat="1" applyAlignment="1">
      <alignment horizontal="left"/>
    </xf>
    <xf numFmtId="8" fontId="0" fillId="0" borderId="0" xfId="0" applyNumberFormat="1" applyAlignment="1">
      <alignment horizontal="left"/>
    </xf>
    <xf numFmtId="0" fontId="0" fillId="0" borderId="0" xfId="0" applyAlignment="1">
      <alignment wrapText="1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9" fontId="0" fillId="0" borderId="0" xfId="1" applyFont="1"/>
    <xf numFmtId="0" fontId="0" fillId="0" borderId="0" xfId="0" applyAlignment="1">
      <alignment horizontal="left" vertical="center" wrapText="1"/>
    </xf>
    <xf numFmtId="166" fontId="5" fillId="0" borderId="0" xfId="0" applyNumberFormat="1" applyFont="1" applyAlignment="1">
      <alignment horizontal="left"/>
    </xf>
    <xf numFmtId="167" fontId="0" fillId="0" borderId="0" xfId="0" applyNumberFormat="1"/>
    <xf numFmtId="167" fontId="0" fillId="0" borderId="1" xfId="0" applyNumberFormat="1" applyBorder="1"/>
    <xf numFmtId="167" fontId="0" fillId="0" borderId="0" xfId="0" applyNumberFormat="1" applyAlignment="1">
      <alignment horizontal="left"/>
    </xf>
    <xf numFmtId="167" fontId="0" fillId="0" borderId="0" xfId="0" applyNumberFormat="1" applyAlignment="1">
      <alignment horizontal="left" vertical="center"/>
    </xf>
    <xf numFmtId="167" fontId="0" fillId="0" borderId="0" xfId="0" applyNumberFormat="1" applyAlignment="1">
      <alignment horizontal="left" vertical="center" wrapText="1"/>
    </xf>
    <xf numFmtId="0" fontId="8" fillId="0" borderId="0" xfId="0" applyFont="1"/>
    <xf numFmtId="0" fontId="8" fillId="0" borderId="0" xfId="0" applyFont="1" applyAlignment="1">
      <alignment wrapText="1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F5BD5F5-2FB1-4682-9032-009612DAEB29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d04ac0c9-0378-435b-be1a-6a8ef7796893&quot;"/>
  </we:properties>
  <we:bindings/>
  <we:snapshot xmlns:r="http://schemas.openxmlformats.org/officeDocument/2006/relationships"/>
</we:webextension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workbookViewId="0">
      <selection activeCell="B23" sqref="B23"/>
    </sheetView>
  </sheetViews>
  <sheetFormatPr defaultRowHeight="15" x14ac:dyDescent="0.25"/>
  <cols>
    <col min="1" max="1" width="20" customWidth="1"/>
    <col min="2" max="2" width="120" customWidth="1"/>
  </cols>
  <sheetData>
    <row r="1" spans="1:2" ht="18.75" x14ac:dyDescent="0.3">
      <c r="A1" s="1" t="s">
        <v>1429</v>
      </c>
    </row>
    <row r="2" spans="1:2" ht="45" x14ac:dyDescent="0.25">
      <c r="A2" s="37" t="s">
        <v>1480</v>
      </c>
      <c r="B2" s="38" t="s">
        <v>1495</v>
      </c>
    </row>
    <row r="3" spans="1:2" x14ac:dyDescent="0.25">
      <c r="A3" t="s">
        <v>0</v>
      </c>
      <c r="B3" t="s">
        <v>1430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t="s">
        <v>4</v>
      </c>
    </row>
    <row r="6" spans="1:2" x14ac:dyDescent="0.25">
      <c r="A6" t="s">
        <v>5</v>
      </c>
      <c r="B6" t="s">
        <v>6</v>
      </c>
    </row>
    <row r="8" spans="1:2" x14ac:dyDescent="0.25">
      <c r="A8" s="2" t="s">
        <v>7</v>
      </c>
      <c r="B8" s="2" t="s">
        <v>8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 t="s">
        <v>12</v>
      </c>
    </row>
    <row r="11" spans="1:2" x14ac:dyDescent="0.25">
      <c r="A11" t="s">
        <v>13</v>
      </c>
      <c r="B11" t="s">
        <v>14</v>
      </c>
    </row>
    <row r="12" spans="1:2" x14ac:dyDescent="0.25">
      <c r="A12" t="s">
        <v>15</v>
      </c>
      <c r="B12" t="s">
        <v>16</v>
      </c>
    </row>
    <row r="13" spans="1:2" x14ac:dyDescent="0.25">
      <c r="A13" t="s">
        <v>17</v>
      </c>
      <c r="B13" t="s">
        <v>18</v>
      </c>
    </row>
    <row r="14" spans="1:2" x14ac:dyDescent="0.25">
      <c r="A14" t="s">
        <v>19</v>
      </c>
      <c r="B14" t="s">
        <v>20</v>
      </c>
    </row>
    <row r="15" spans="1:2" x14ac:dyDescent="0.25">
      <c r="A15" t="s">
        <v>21</v>
      </c>
      <c r="B15" t="s">
        <v>22</v>
      </c>
    </row>
    <row r="17" spans="1:2" x14ac:dyDescent="0.25">
      <c r="A17" t="s">
        <v>23</v>
      </c>
      <c r="B17" t="s">
        <v>1431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F433"/>
  <sheetViews>
    <sheetView workbookViewId="0">
      <pane ySplit="1" topLeftCell="A2" activePane="bottomLeft" state="frozen"/>
      <selection pane="bottomLeft" activeCell="F339" sqref="F339"/>
    </sheetView>
  </sheetViews>
  <sheetFormatPr defaultRowHeight="15" x14ac:dyDescent="0.25"/>
  <cols>
    <col min="1" max="1" width="12" customWidth="1"/>
    <col min="2" max="2" width="22" customWidth="1"/>
    <col min="3" max="3" width="12" customWidth="1"/>
    <col min="4" max="4" width="30" customWidth="1"/>
    <col min="5" max="5" width="26" customWidth="1"/>
    <col min="6" max="6" width="16" customWidth="1"/>
  </cols>
  <sheetData>
    <row r="1" spans="1:6" x14ac:dyDescent="0.25">
      <c r="A1" s="3" t="s">
        <v>24</v>
      </c>
      <c r="B1" s="3" t="s">
        <v>25</v>
      </c>
      <c r="C1" s="3" t="s">
        <v>26</v>
      </c>
      <c r="D1" s="3" t="s">
        <v>27</v>
      </c>
      <c r="E1" s="3" t="s">
        <v>28</v>
      </c>
      <c r="F1" s="3" t="s">
        <v>29</v>
      </c>
    </row>
    <row r="2" spans="1:6" hidden="1" x14ac:dyDescent="0.25">
      <c r="A2" t="s">
        <v>30</v>
      </c>
      <c r="B2" t="s">
        <v>31</v>
      </c>
      <c r="C2">
        <v>4000</v>
      </c>
      <c r="D2" t="s">
        <v>32</v>
      </c>
      <c r="E2" t="s">
        <v>31</v>
      </c>
      <c r="F2" s="4">
        <v>9013095.9299999997</v>
      </c>
    </row>
    <row r="3" spans="1:6" x14ac:dyDescent="0.25">
      <c r="A3" t="s">
        <v>30</v>
      </c>
      <c r="B3" t="s">
        <v>31</v>
      </c>
      <c r="C3">
        <v>4100</v>
      </c>
      <c r="D3" t="s">
        <v>33</v>
      </c>
      <c r="E3" t="s">
        <v>31</v>
      </c>
      <c r="F3" s="4">
        <v>679000</v>
      </c>
    </row>
    <row r="4" spans="1:6" hidden="1" x14ac:dyDescent="0.25">
      <c r="A4" t="s">
        <v>30</v>
      </c>
      <c r="B4" t="s">
        <v>34</v>
      </c>
      <c r="C4">
        <v>5000</v>
      </c>
      <c r="D4" t="s">
        <v>35</v>
      </c>
      <c r="E4" t="s">
        <v>34</v>
      </c>
      <c r="F4" s="4">
        <v>886234.69</v>
      </c>
    </row>
    <row r="5" spans="1:6" hidden="1" x14ac:dyDescent="0.25">
      <c r="A5" t="s">
        <v>30</v>
      </c>
      <c r="B5" t="s">
        <v>34</v>
      </c>
      <c r="C5">
        <v>5300</v>
      </c>
      <c r="D5" t="s">
        <v>36</v>
      </c>
      <c r="E5" t="s">
        <v>34</v>
      </c>
      <c r="F5" s="4">
        <v>166197.89000000001</v>
      </c>
    </row>
    <row r="6" spans="1:6" hidden="1" x14ac:dyDescent="0.25">
      <c r="A6" t="s">
        <v>30</v>
      </c>
      <c r="B6" t="s">
        <v>37</v>
      </c>
      <c r="C6">
        <v>6000</v>
      </c>
      <c r="D6" t="s">
        <v>38</v>
      </c>
      <c r="E6" t="s">
        <v>39</v>
      </c>
      <c r="F6" s="4">
        <v>761238.56</v>
      </c>
    </row>
    <row r="7" spans="1:6" hidden="1" x14ac:dyDescent="0.25">
      <c r="A7" t="s">
        <v>30</v>
      </c>
      <c r="B7" t="s">
        <v>37</v>
      </c>
      <c r="C7">
        <v>6010</v>
      </c>
      <c r="D7" t="s">
        <v>40</v>
      </c>
      <c r="E7" t="s">
        <v>39</v>
      </c>
      <c r="F7" s="4">
        <v>186546.44</v>
      </c>
    </row>
    <row r="8" spans="1:6" hidden="1" x14ac:dyDescent="0.25">
      <c r="A8" t="s">
        <v>30</v>
      </c>
      <c r="B8" t="s">
        <v>37</v>
      </c>
      <c r="C8">
        <v>6200</v>
      </c>
      <c r="D8" t="s">
        <v>41</v>
      </c>
      <c r="E8" t="s">
        <v>39</v>
      </c>
      <c r="F8" s="4">
        <v>23153.45</v>
      </c>
    </row>
    <row r="9" spans="1:6" hidden="1" x14ac:dyDescent="0.25">
      <c r="A9" t="s">
        <v>30</v>
      </c>
      <c r="B9" t="s">
        <v>37</v>
      </c>
      <c r="C9">
        <v>6300</v>
      </c>
      <c r="D9" t="s">
        <v>42</v>
      </c>
      <c r="E9" t="s">
        <v>39</v>
      </c>
      <c r="F9" s="4">
        <v>69158.42</v>
      </c>
    </row>
    <row r="10" spans="1:6" hidden="1" x14ac:dyDescent="0.25">
      <c r="A10" t="s">
        <v>30</v>
      </c>
      <c r="B10" t="s">
        <v>37</v>
      </c>
      <c r="C10">
        <v>6800</v>
      </c>
      <c r="D10" t="s">
        <v>43</v>
      </c>
      <c r="E10" t="s">
        <v>39</v>
      </c>
      <c r="F10" s="4">
        <v>18272.84</v>
      </c>
    </row>
    <row r="11" spans="1:6" hidden="1" x14ac:dyDescent="0.25">
      <c r="A11" t="s">
        <v>30</v>
      </c>
      <c r="B11" t="s">
        <v>44</v>
      </c>
      <c r="C11">
        <v>6000</v>
      </c>
      <c r="D11" t="s">
        <v>38</v>
      </c>
      <c r="E11" t="s">
        <v>39</v>
      </c>
      <c r="F11" s="4">
        <v>258326.09</v>
      </c>
    </row>
    <row r="12" spans="1:6" hidden="1" x14ac:dyDescent="0.25">
      <c r="A12" t="s">
        <v>30</v>
      </c>
      <c r="B12" t="s">
        <v>44</v>
      </c>
      <c r="C12">
        <v>6010</v>
      </c>
      <c r="D12" t="s">
        <v>40</v>
      </c>
      <c r="E12" t="s">
        <v>39</v>
      </c>
      <c r="F12" s="4">
        <v>62903.82</v>
      </c>
    </row>
    <row r="13" spans="1:6" hidden="1" x14ac:dyDescent="0.25">
      <c r="A13" t="s">
        <v>30</v>
      </c>
      <c r="B13" t="s">
        <v>44</v>
      </c>
      <c r="C13">
        <v>6200</v>
      </c>
      <c r="D13" t="s">
        <v>41</v>
      </c>
      <c r="E13" t="s">
        <v>39</v>
      </c>
      <c r="F13" s="4">
        <v>7181.57</v>
      </c>
    </row>
    <row r="14" spans="1:6" hidden="1" x14ac:dyDescent="0.25">
      <c r="A14" t="s">
        <v>30</v>
      </c>
      <c r="B14" t="s">
        <v>44</v>
      </c>
      <c r="C14">
        <v>6300</v>
      </c>
      <c r="D14" t="s">
        <v>42</v>
      </c>
      <c r="E14" t="s">
        <v>39</v>
      </c>
      <c r="F14" s="4">
        <v>9402.33</v>
      </c>
    </row>
    <row r="15" spans="1:6" hidden="1" x14ac:dyDescent="0.25">
      <c r="A15" t="s">
        <v>30</v>
      </c>
      <c r="B15" t="s">
        <v>44</v>
      </c>
      <c r="C15">
        <v>6800</v>
      </c>
      <c r="D15" t="s">
        <v>43</v>
      </c>
      <c r="E15" t="s">
        <v>39</v>
      </c>
      <c r="F15" s="4">
        <v>8553.9</v>
      </c>
    </row>
    <row r="16" spans="1:6" hidden="1" x14ac:dyDescent="0.25">
      <c r="A16" t="s">
        <v>30</v>
      </c>
      <c r="B16" t="s">
        <v>45</v>
      </c>
      <c r="C16">
        <v>6000</v>
      </c>
      <c r="D16" t="s">
        <v>38</v>
      </c>
      <c r="E16" t="s">
        <v>39</v>
      </c>
      <c r="F16" s="4">
        <v>284287.40000000002</v>
      </c>
    </row>
    <row r="17" spans="1:6" hidden="1" x14ac:dyDescent="0.25">
      <c r="A17" t="s">
        <v>30</v>
      </c>
      <c r="B17" t="s">
        <v>45</v>
      </c>
      <c r="C17">
        <v>6010</v>
      </c>
      <c r="D17" t="s">
        <v>40</v>
      </c>
      <c r="E17" t="s">
        <v>39</v>
      </c>
      <c r="F17" s="4">
        <v>68515.429999999993</v>
      </c>
    </row>
    <row r="18" spans="1:6" hidden="1" x14ac:dyDescent="0.25">
      <c r="A18" t="s">
        <v>30</v>
      </c>
      <c r="B18" t="s">
        <v>45</v>
      </c>
      <c r="C18">
        <v>6200</v>
      </c>
      <c r="D18" t="s">
        <v>41</v>
      </c>
      <c r="E18" t="s">
        <v>39</v>
      </c>
      <c r="F18" s="4">
        <v>10052.25</v>
      </c>
    </row>
    <row r="19" spans="1:6" hidden="1" x14ac:dyDescent="0.25">
      <c r="A19" t="s">
        <v>30</v>
      </c>
      <c r="B19" t="s">
        <v>45</v>
      </c>
      <c r="C19">
        <v>6300</v>
      </c>
      <c r="D19" t="s">
        <v>42</v>
      </c>
      <c r="E19" t="s">
        <v>39</v>
      </c>
      <c r="F19" s="4">
        <v>9161.2900000000009</v>
      </c>
    </row>
    <row r="20" spans="1:6" hidden="1" x14ac:dyDescent="0.25">
      <c r="A20" t="s">
        <v>30</v>
      </c>
      <c r="B20" t="s">
        <v>45</v>
      </c>
      <c r="C20">
        <v>6800</v>
      </c>
      <c r="D20" t="s">
        <v>43</v>
      </c>
      <c r="E20" t="s">
        <v>39</v>
      </c>
      <c r="F20" s="4">
        <v>7930.6</v>
      </c>
    </row>
    <row r="21" spans="1:6" hidden="1" x14ac:dyDescent="0.25">
      <c r="A21" t="s">
        <v>30</v>
      </c>
      <c r="B21" t="s">
        <v>46</v>
      </c>
      <c r="C21">
        <v>6000</v>
      </c>
      <c r="D21" t="s">
        <v>38</v>
      </c>
      <c r="E21" t="s">
        <v>47</v>
      </c>
      <c r="F21" s="4">
        <v>2066788.91</v>
      </c>
    </row>
    <row r="22" spans="1:6" hidden="1" x14ac:dyDescent="0.25">
      <c r="A22" t="s">
        <v>30</v>
      </c>
      <c r="B22" t="s">
        <v>46</v>
      </c>
      <c r="C22">
        <v>6010</v>
      </c>
      <c r="D22" t="s">
        <v>40</v>
      </c>
      <c r="E22" t="s">
        <v>47</v>
      </c>
      <c r="F22" s="4">
        <v>506643.6</v>
      </c>
    </row>
    <row r="23" spans="1:6" hidden="1" x14ac:dyDescent="0.25">
      <c r="A23" t="s">
        <v>30</v>
      </c>
      <c r="B23" t="s">
        <v>46</v>
      </c>
      <c r="C23">
        <v>6200</v>
      </c>
      <c r="D23" t="s">
        <v>41</v>
      </c>
      <c r="E23" t="s">
        <v>47</v>
      </c>
      <c r="F23" s="4">
        <v>35995.760000000002</v>
      </c>
    </row>
    <row r="24" spans="1:6" hidden="1" x14ac:dyDescent="0.25">
      <c r="A24" t="s">
        <v>30</v>
      </c>
      <c r="B24" t="s">
        <v>46</v>
      </c>
      <c r="C24">
        <v>6300</v>
      </c>
      <c r="D24" t="s">
        <v>42</v>
      </c>
      <c r="E24" t="s">
        <v>47</v>
      </c>
      <c r="F24" s="4">
        <v>15213.1</v>
      </c>
    </row>
    <row r="25" spans="1:6" hidden="1" x14ac:dyDescent="0.25">
      <c r="A25" t="s">
        <v>30</v>
      </c>
      <c r="B25" t="s">
        <v>46</v>
      </c>
      <c r="C25">
        <v>6800</v>
      </c>
      <c r="D25" t="s">
        <v>43</v>
      </c>
      <c r="E25" t="s">
        <v>47</v>
      </c>
      <c r="F25" s="4">
        <v>4578.59</v>
      </c>
    </row>
    <row r="26" spans="1:6" hidden="1" x14ac:dyDescent="0.25">
      <c r="A26" t="s">
        <v>30</v>
      </c>
      <c r="B26" t="s">
        <v>48</v>
      </c>
      <c r="C26">
        <v>6000</v>
      </c>
      <c r="D26" t="s">
        <v>38</v>
      </c>
      <c r="E26" t="s">
        <v>49</v>
      </c>
      <c r="F26" s="4">
        <v>450325.43</v>
      </c>
    </row>
    <row r="27" spans="1:6" hidden="1" x14ac:dyDescent="0.25">
      <c r="A27" t="s">
        <v>30</v>
      </c>
      <c r="B27" t="s">
        <v>48</v>
      </c>
      <c r="C27">
        <v>6010</v>
      </c>
      <c r="D27" t="s">
        <v>40</v>
      </c>
      <c r="E27" t="s">
        <v>49</v>
      </c>
      <c r="F27" s="4">
        <v>106481.71</v>
      </c>
    </row>
    <row r="28" spans="1:6" hidden="1" x14ac:dyDescent="0.25">
      <c r="A28" t="s">
        <v>30</v>
      </c>
      <c r="B28" t="s">
        <v>48</v>
      </c>
      <c r="C28">
        <v>6200</v>
      </c>
      <c r="D28" t="s">
        <v>41</v>
      </c>
      <c r="E28" t="s">
        <v>49</v>
      </c>
      <c r="F28" s="4">
        <v>11279.14</v>
      </c>
    </row>
    <row r="29" spans="1:6" hidden="1" x14ac:dyDescent="0.25">
      <c r="A29" t="s">
        <v>30</v>
      </c>
      <c r="B29" t="s">
        <v>48</v>
      </c>
      <c r="C29">
        <v>6300</v>
      </c>
      <c r="D29" t="s">
        <v>42</v>
      </c>
      <c r="E29" t="s">
        <v>49</v>
      </c>
      <c r="F29" s="4">
        <v>3513.24</v>
      </c>
    </row>
    <row r="30" spans="1:6" hidden="1" x14ac:dyDescent="0.25">
      <c r="A30" t="s">
        <v>30</v>
      </c>
      <c r="B30" t="s">
        <v>48</v>
      </c>
      <c r="C30">
        <v>6800</v>
      </c>
      <c r="D30" t="s">
        <v>43</v>
      </c>
      <c r="E30" t="s">
        <v>49</v>
      </c>
      <c r="F30" s="4">
        <v>9629.73</v>
      </c>
    </row>
    <row r="31" spans="1:6" hidden="1" x14ac:dyDescent="0.25">
      <c r="A31" t="s">
        <v>30</v>
      </c>
      <c r="B31" t="s">
        <v>50</v>
      </c>
      <c r="C31">
        <v>6000</v>
      </c>
      <c r="D31" t="s">
        <v>38</v>
      </c>
      <c r="E31" t="s">
        <v>34</v>
      </c>
      <c r="F31" s="4">
        <v>246043.77</v>
      </c>
    </row>
    <row r="32" spans="1:6" hidden="1" x14ac:dyDescent="0.25">
      <c r="A32" t="s">
        <v>30</v>
      </c>
      <c r="B32" t="s">
        <v>50</v>
      </c>
      <c r="C32">
        <v>6010</v>
      </c>
      <c r="D32" t="s">
        <v>40</v>
      </c>
      <c r="E32" t="s">
        <v>34</v>
      </c>
      <c r="F32" s="4">
        <v>59918.41</v>
      </c>
    </row>
    <row r="33" spans="1:6" hidden="1" x14ac:dyDescent="0.25">
      <c r="A33" t="s">
        <v>30</v>
      </c>
      <c r="B33" t="s">
        <v>50</v>
      </c>
      <c r="C33">
        <v>6200</v>
      </c>
      <c r="D33" t="s">
        <v>41</v>
      </c>
      <c r="E33" t="s">
        <v>34</v>
      </c>
      <c r="F33" s="4">
        <v>10091.209999999999</v>
      </c>
    </row>
    <row r="34" spans="1:6" hidden="1" x14ac:dyDescent="0.25">
      <c r="A34" t="s">
        <v>30</v>
      </c>
      <c r="B34" t="s">
        <v>50</v>
      </c>
      <c r="C34">
        <v>6300</v>
      </c>
      <c r="D34" t="s">
        <v>42</v>
      </c>
      <c r="E34" t="s">
        <v>34</v>
      </c>
      <c r="F34" s="4">
        <v>3879.26</v>
      </c>
    </row>
    <row r="35" spans="1:6" hidden="1" x14ac:dyDescent="0.25">
      <c r="A35" t="s">
        <v>30</v>
      </c>
      <c r="B35" t="s">
        <v>50</v>
      </c>
      <c r="C35">
        <v>6800</v>
      </c>
      <c r="D35" t="s">
        <v>43</v>
      </c>
      <c r="E35" t="s">
        <v>34</v>
      </c>
      <c r="F35" s="4">
        <v>12643.84</v>
      </c>
    </row>
    <row r="36" spans="1:6" hidden="1" x14ac:dyDescent="0.25">
      <c r="A36" t="s">
        <v>30</v>
      </c>
      <c r="B36" t="s">
        <v>51</v>
      </c>
      <c r="C36">
        <v>6000</v>
      </c>
      <c r="D36" t="s">
        <v>38</v>
      </c>
      <c r="E36" t="s">
        <v>34</v>
      </c>
      <c r="F36" s="4">
        <v>286875.69</v>
      </c>
    </row>
    <row r="37" spans="1:6" hidden="1" x14ac:dyDescent="0.25">
      <c r="A37" t="s">
        <v>30</v>
      </c>
      <c r="B37" t="s">
        <v>51</v>
      </c>
      <c r="C37">
        <v>6010</v>
      </c>
      <c r="D37" t="s">
        <v>40</v>
      </c>
      <c r="E37" t="s">
        <v>34</v>
      </c>
      <c r="F37" s="4">
        <v>68002.23</v>
      </c>
    </row>
    <row r="38" spans="1:6" hidden="1" x14ac:dyDescent="0.25">
      <c r="A38" t="s">
        <v>30</v>
      </c>
      <c r="B38" t="s">
        <v>51</v>
      </c>
      <c r="C38">
        <v>6200</v>
      </c>
      <c r="D38" t="s">
        <v>41</v>
      </c>
      <c r="E38" t="s">
        <v>34</v>
      </c>
      <c r="F38" s="4">
        <v>7073.56</v>
      </c>
    </row>
    <row r="39" spans="1:6" hidden="1" x14ac:dyDescent="0.25">
      <c r="A39" t="s">
        <v>30</v>
      </c>
      <c r="B39" t="s">
        <v>51</v>
      </c>
      <c r="C39">
        <v>6300</v>
      </c>
      <c r="D39" t="s">
        <v>42</v>
      </c>
      <c r="E39" t="s">
        <v>34</v>
      </c>
      <c r="F39" s="4">
        <v>16826.91</v>
      </c>
    </row>
    <row r="40" spans="1:6" hidden="1" x14ac:dyDescent="0.25">
      <c r="A40" t="s">
        <v>30</v>
      </c>
      <c r="B40" t="s">
        <v>51</v>
      </c>
      <c r="C40">
        <v>6800</v>
      </c>
      <c r="D40" t="s">
        <v>43</v>
      </c>
      <c r="E40" t="s">
        <v>34</v>
      </c>
      <c r="F40" s="4">
        <v>3827.67</v>
      </c>
    </row>
    <row r="41" spans="1:6" hidden="1" x14ac:dyDescent="0.25">
      <c r="A41" t="s">
        <v>30</v>
      </c>
      <c r="B41" t="s">
        <v>37</v>
      </c>
      <c r="C41">
        <v>6020</v>
      </c>
      <c r="D41" t="s">
        <v>52</v>
      </c>
      <c r="E41" t="s">
        <v>39</v>
      </c>
      <c r="F41" s="4">
        <v>124773.26</v>
      </c>
    </row>
    <row r="42" spans="1:6" hidden="1" x14ac:dyDescent="0.25">
      <c r="A42" t="s">
        <v>30</v>
      </c>
      <c r="B42" t="s">
        <v>46</v>
      </c>
      <c r="C42">
        <v>6100</v>
      </c>
      <c r="D42" t="s">
        <v>53</v>
      </c>
      <c r="E42" t="s">
        <v>47</v>
      </c>
      <c r="F42" s="4">
        <v>111643.61</v>
      </c>
    </row>
    <row r="43" spans="1:6" hidden="1" x14ac:dyDescent="0.25">
      <c r="A43" t="s">
        <v>30</v>
      </c>
      <c r="B43" t="s">
        <v>51</v>
      </c>
      <c r="C43">
        <v>6100</v>
      </c>
      <c r="D43" t="s">
        <v>53</v>
      </c>
      <c r="E43" t="s">
        <v>34</v>
      </c>
      <c r="F43" s="4">
        <v>63748.01</v>
      </c>
    </row>
    <row r="44" spans="1:6" hidden="1" x14ac:dyDescent="0.25">
      <c r="A44" t="s">
        <v>30</v>
      </c>
      <c r="B44" t="s">
        <v>44</v>
      </c>
      <c r="C44">
        <v>6400</v>
      </c>
      <c r="D44" t="s">
        <v>54</v>
      </c>
      <c r="E44" t="s">
        <v>39</v>
      </c>
      <c r="F44" s="4">
        <v>518559.24</v>
      </c>
    </row>
    <row r="45" spans="1:6" hidden="1" x14ac:dyDescent="0.25">
      <c r="A45" t="s">
        <v>30</v>
      </c>
      <c r="B45" t="s">
        <v>44</v>
      </c>
      <c r="C45">
        <v>6410</v>
      </c>
      <c r="D45" t="s">
        <v>55</v>
      </c>
      <c r="E45" t="s">
        <v>39</v>
      </c>
      <c r="F45" s="4">
        <v>58481.22</v>
      </c>
    </row>
    <row r="46" spans="1:6" hidden="1" x14ac:dyDescent="0.25">
      <c r="A46" t="s">
        <v>30</v>
      </c>
      <c r="B46" t="s">
        <v>48</v>
      </c>
      <c r="C46">
        <v>6500</v>
      </c>
      <c r="D46" t="s">
        <v>56</v>
      </c>
      <c r="E46" t="s">
        <v>49</v>
      </c>
      <c r="F46" s="4">
        <v>44949.37</v>
      </c>
    </row>
    <row r="47" spans="1:6" hidden="1" x14ac:dyDescent="0.25">
      <c r="A47" t="s">
        <v>30</v>
      </c>
      <c r="B47" t="s">
        <v>48</v>
      </c>
      <c r="C47">
        <v>6510</v>
      </c>
      <c r="D47" t="s">
        <v>57</v>
      </c>
      <c r="E47" t="s">
        <v>49</v>
      </c>
      <c r="F47" s="4">
        <v>96757.48</v>
      </c>
    </row>
    <row r="48" spans="1:6" hidden="1" x14ac:dyDescent="0.25">
      <c r="A48" t="s">
        <v>30</v>
      </c>
      <c r="B48" t="s">
        <v>48</v>
      </c>
      <c r="C48">
        <v>6600</v>
      </c>
      <c r="D48" t="s">
        <v>58</v>
      </c>
      <c r="E48" t="s">
        <v>49</v>
      </c>
      <c r="F48" s="4">
        <v>312000</v>
      </c>
    </row>
    <row r="49" spans="1:6" hidden="1" x14ac:dyDescent="0.25">
      <c r="A49" t="s">
        <v>30</v>
      </c>
      <c r="B49" t="s">
        <v>48</v>
      </c>
      <c r="C49">
        <v>6700</v>
      </c>
      <c r="D49" t="s">
        <v>59</v>
      </c>
      <c r="E49" t="s">
        <v>49</v>
      </c>
      <c r="F49" s="4">
        <v>139500</v>
      </c>
    </row>
    <row r="50" spans="1:6" hidden="1" x14ac:dyDescent="0.25">
      <c r="A50" t="s">
        <v>60</v>
      </c>
      <c r="B50" t="s">
        <v>31</v>
      </c>
      <c r="C50">
        <v>4000</v>
      </c>
      <c r="D50" t="s">
        <v>32</v>
      </c>
      <c r="E50" t="s">
        <v>31</v>
      </c>
      <c r="F50" s="4">
        <v>9093956.8699999992</v>
      </c>
    </row>
    <row r="51" spans="1:6" x14ac:dyDescent="0.25">
      <c r="A51" t="s">
        <v>60</v>
      </c>
      <c r="B51" t="s">
        <v>31</v>
      </c>
      <c r="C51">
        <v>4100</v>
      </c>
      <c r="D51" t="s">
        <v>33</v>
      </c>
      <c r="E51" t="s">
        <v>31</v>
      </c>
      <c r="F51" s="4">
        <v>748800</v>
      </c>
    </row>
    <row r="52" spans="1:6" hidden="1" x14ac:dyDescent="0.25">
      <c r="A52" t="s">
        <v>60</v>
      </c>
      <c r="B52" t="s">
        <v>34</v>
      </c>
      <c r="C52">
        <v>5000</v>
      </c>
      <c r="D52" t="s">
        <v>35</v>
      </c>
      <c r="E52" t="s">
        <v>34</v>
      </c>
      <c r="F52" s="4">
        <v>898678.87</v>
      </c>
    </row>
    <row r="53" spans="1:6" hidden="1" x14ac:dyDescent="0.25">
      <c r="A53" t="s">
        <v>60</v>
      </c>
      <c r="B53" t="s">
        <v>34</v>
      </c>
      <c r="C53">
        <v>5300</v>
      </c>
      <c r="D53" t="s">
        <v>36</v>
      </c>
      <c r="E53" t="s">
        <v>34</v>
      </c>
      <c r="F53" s="4">
        <v>157496.68</v>
      </c>
    </row>
    <row r="54" spans="1:6" hidden="1" x14ac:dyDescent="0.25">
      <c r="A54" t="s">
        <v>60</v>
      </c>
      <c r="B54" t="s">
        <v>37</v>
      </c>
      <c r="C54">
        <v>6000</v>
      </c>
      <c r="D54" t="s">
        <v>38</v>
      </c>
      <c r="E54" t="s">
        <v>39</v>
      </c>
      <c r="F54" s="4">
        <v>771364.59</v>
      </c>
    </row>
    <row r="55" spans="1:6" hidden="1" x14ac:dyDescent="0.25">
      <c r="A55" t="s">
        <v>60</v>
      </c>
      <c r="B55" t="s">
        <v>37</v>
      </c>
      <c r="C55">
        <v>6010</v>
      </c>
      <c r="D55" t="s">
        <v>40</v>
      </c>
      <c r="E55" t="s">
        <v>39</v>
      </c>
      <c r="F55" s="4">
        <v>191837.79</v>
      </c>
    </row>
    <row r="56" spans="1:6" hidden="1" x14ac:dyDescent="0.25">
      <c r="A56" t="s">
        <v>60</v>
      </c>
      <c r="B56" t="s">
        <v>37</v>
      </c>
      <c r="C56">
        <v>6200</v>
      </c>
      <c r="D56" t="s">
        <v>41</v>
      </c>
      <c r="E56" t="s">
        <v>39</v>
      </c>
      <c r="F56" s="4">
        <v>25386.92</v>
      </c>
    </row>
    <row r="57" spans="1:6" hidden="1" x14ac:dyDescent="0.25">
      <c r="A57" t="s">
        <v>60</v>
      </c>
      <c r="B57" t="s">
        <v>37</v>
      </c>
      <c r="C57">
        <v>6300</v>
      </c>
      <c r="D57" t="s">
        <v>42</v>
      </c>
      <c r="E57" t="s">
        <v>39</v>
      </c>
      <c r="F57" s="4">
        <v>59350.27</v>
      </c>
    </row>
    <row r="58" spans="1:6" hidden="1" x14ac:dyDescent="0.25">
      <c r="A58" t="s">
        <v>60</v>
      </c>
      <c r="B58" t="s">
        <v>37</v>
      </c>
      <c r="C58">
        <v>6800</v>
      </c>
      <c r="D58" t="s">
        <v>43</v>
      </c>
      <c r="E58" t="s">
        <v>39</v>
      </c>
      <c r="F58" s="4">
        <v>13631.8</v>
      </c>
    </row>
    <row r="59" spans="1:6" hidden="1" x14ac:dyDescent="0.25">
      <c r="A59" t="s">
        <v>60</v>
      </c>
      <c r="B59" t="s">
        <v>44</v>
      </c>
      <c r="C59">
        <v>6000</v>
      </c>
      <c r="D59" t="s">
        <v>38</v>
      </c>
      <c r="E59" t="s">
        <v>39</v>
      </c>
      <c r="F59" s="4">
        <v>264979.78999999998</v>
      </c>
    </row>
    <row r="60" spans="1:6" hidden="1" x14ac:dyDescent="0.25">
      <c r="A60" t="s">
        <v>60</v>
      </c>
      <c r="B60" t="s">
        <v>44</v>
      </c>
      <c r="C60">
        <v>6010</v>
      </c>
      <c r="D60" t="s">
        <v>40</v>
      </c>
      <c r="E60" t="s">
        <v>39</v>
      </c>
      <c r="F60" s="4">
        <v>66471.149999999994</v>
      </c>
    </row>
    <row r="61" spans="1:6" hidden="1" x14ac:dyDescent="0.25">
      <c r="A61" t="s">
        <v>60</v>
      </c>
      <c r="B61" t="s">
        <v>44</v>
      </c>
      <c r="C61">
        <v>6200</v>
      </c>
      <c r="D61" t="s">
        <v>41</v>
      </c>
      <c r="E61" t="s">
        <v>39</v>
      </c>
      <c r="F61" s="4">
        <v>7231.33</v>
      </c>
    </row>
    <row r="62" spans="1:6" hidden="1" x14ac:dyDescent="0.25">
      <c r="A62" t="s">
        <v>60</v>
      </c>
      <c r="B62" t="s">
        <v>44</v>
      </c>
      <c r="C62">
        <v>6300</v>
      </c>
      <c r="D62" t="s">
        <v>42</v>
      </c>
      <c r="E62" t="s">
        <v>39</v>
      </c>
      <c r="F62" s="4">
        <v>8895.07</v>
      </c>
    </row>
    <row r="63" spans="1:6" hidden="1" x14ac:dyDescent="0.25">
      <c r="A63" t="s">
        <v>60</v>
      </c>
      <c r="B63" t="s">
        <v>44</v>
      </c>
      <c r="C63">
        <v>6800</v>
      </c>
      <c r="D63" t="s">
        <v>43</v>
      </c>
      <c r="E63" t="s">
        <v>39</v>
      </c>
      <c r="F63" s="4">
        <v>13816.85</v>
      </c>
    </row>
    <row r="64" spans="1:6" hidden="1" x14ac:dyDescent="0.25">
      <c r="A64" t="s">
        <v>60</v>
      </c>
      <c r="B64" t="s">
        <v>45</v>
      </c>
      <c r="C64">
        <v>6000</v>
      </c>
      <c r="D64" t="s">
        <v>38</v>
      </c>
      <c r="E64" t="s">
        <v>39</v>
      </c>
      <c r="F64" s="4">
        <v>283982.3</v>
      </c>
    </row>
    <row r="65" spans="1:6" hidden="1" x14ac:dyDescent="0.25">
      <c r="A65" t="s">
        <v>60</v>
      </c>
      <c r="B65" t="s">
        <v>45</v>
      </c>
      <c r="C65">
        <v>6010</v>
      </c>
      <c r="D65" t="s">
        <v>40</v>
      </c>
      <c r="E65" t="s">
        <v>39</v>
      </c>
      <c r="F65" s="4">
        <v>68455.149999999994</v>
      </c>
    </row>
    <row r="66" spans="1:6" hidden="1" x14ac:dyDescent="0.25">
      <c r="A66" t="s">
        <v>60</v>
      </c>
      <c r="B66" t="s">
        <v>45</v>
      </c>
      <c r="C66">
        <v>6200</v>
      </c>
      <c r="D66" t="s">
        <v>41</v>
      </c>
      <c r="E66" t="s">
        <v>39</v>
      </c>
      <c r="F66" s="4">
        <v>9365.01</v>
      </c>
    </row>
    <row r="67" spans="1:6" hidden="1" x14ac:dyDescent="0.25">
      <c r="A67" t="s">
        <v>60</v>
      </c>
      <c r="B67" t="s">
        <v>45</v>
      </c>
      <c r="C67">
        <v>6300</v>
      </c>
      <c r="D67" t="s">
        <v>42</v>
      </c>
      <c r="E67" t="s">
        <v>39</v>
      </c>
      <c r="F67" s="4">
        <v>9007</v>
      </c>
    </row>
    <row r="68" spans="1:6" hidden="1" x14ac:dyDescent="0.25">
      <c r="A68" t="s">
        <v>60</v>
      </c>
      <c r="B68" t="s">
        <v>45</v>
      </c>
      <c r="C68">
        <v>6800</v>
      </c>
      <c r="D68" t="s">
        <v>43</v>
      </c>
      <c r="E68" t="s">
        <v>39</v>
      </c>
      <c r="F68" s="4">
        <v>4392.76</v>
      </c>
    </row>
    <row r="69" spans="1:6" hidden="1" x14ac:dyDescent="0.25">
      <c r="A69" t="s">
        <v>60</v>
      </c>
      <c r="B69" t="s">
        <v>46</v>
      </c>
      <c r="C69">
        <v>6000</v>
      </c>
      <c r="D69" t="s">
        <v>38</v>
      </c>
      <c r="E69" t="s">
        <v>47</v>
      </c>
      <c r="F69" s="4">
        <v>2051218.49</v>
      </c>
    </row>
    <row r="70" spans="1:6" hidden="1" x14ac:dyDescent="0.25">
      <c r="A70" t="s">
        <v>60</v>
      </c>
      <c r="B70" t="s">
        <v>46</v>
      </c>
      <c r="C70">
        <v>6010</v>
      </c>
      <c r="D70" t="s">
        <v>40</v>
      </c>
      <c r="E70" t="s">
        <v>47</v>
      </c>
      <c r="F70" s="4">
        <v>496338.2</v>
      </c>
    </row>
    <row r="71" spans="1:6" hidden="1" x14ac:dyDescent="0.25">
      <c r="A71" t="s">
        <v>60</v>
      </c>
      <c r="B71" t="s">
        <v>46</v>
      </c>
      <c r="C71">
        <v>6200</v>
      </c>
      <c r="D71" t="s">
        <v>41</v>
      </c>
      <c r="E71" t="s">
        <v>47</v>
      </c>
      <c r="F71" s="4">
        <v>42339.47</v>
      </c>
    </row>
    <row r="72" spans="1:6" hidden="1" x14ac:dyDescent="0.25">
      <c r="A72" t="s">
        <v>60</v>
      </c>
      <c r="B72" t="s">
        <v>46</v>
      </c>
      <c r="C72">
        <v>6300</v>
      </c>
      <c r="D72" t="s">
        <v>42</v>
      </c>
      <c r="E72" t="s">
        <v>47</v>
      </c>
      <c r="F72" s="4">
        <v>14910.75</v>
      </c>
    </row>
    <row r="73" spans="1:6" hidden="1" x14ac:dyDescent="0.25">
      <c r="A73" t="s">
        <v>60</v>
      </c>
      <c r="B73" t="s">
        <v>46</v>
      </c>
      <c r="C73">
        <v>6800</v>
      </c>
      <c r="D73" t="s">
        <v>43</v>
      </c>
      <c r="E73" t="s">
        <v>47</v>
      </c>
      <c r="F73" s="4">
        <v>3861.9</v>
      </c>
    </row>
    <row r="74" spans="1:6" hidden="1" x14ac:dyDescent="0.25">
      <c r="A74" t="s">
        <v>60</v>
      </c>
      <c r="B74" t="s">
        <v>48</v>
      </c>
      <c r="C74">
        <v>6000</v>
      </c>
      <c r="D74" t="s">
        <v>38</v>
      </c>
      <c r="E74" t="s">
        <v>49</v>
      </c>
      <c r="F74" s="4">
        <v>454823.12</v>
      </c>
    </row>
    <row r="75" spans="1:6" hidden="1" x14ac:dyDescent="0.25">
      <c r="A75" t="s">
        <v>60</v>
      </c>
      <c r="B75" t="s">
        <v>48</v>
      </c>
      <c r="C75">
        <v>6010</v>
      </c>
      <c r="D75" t="s">
        <v>40</v>
      </c>
      <c r="E75" t="s">
        <v>49</v>
      </c>
      <c r="F75" s="4">
        <v>112251.72</v>
      </c>
    </row>
    <row r="76" spans="1:6" hidden="1" x14ac:dyDescent="0.25">
      <c r="A76" t="s">
        <v>60</v>
      </c>
      <c r="B76" t="s">
        <v>48</v>
      </c>
      <c r="C76">
        <v>6200</v>
      </c>
      <c r="D76" t="s">
        <v>41</v>
      </c>
      <c r="E76" t="s">
        <v>49</v>
      </c>
      <c r="F76" s="4">
        <v>11244.72</v>
      </c>
    </row>
    <row r="77" spans="1:6" hidden="1" x14ac:dyDescent="0.25">
      <c r="A77" t="s">
        <v>60</v>
      </c>
      <c r="B77" t="s">
        <v>48</v>
      </c>
      <c r="C77">
        <v>6300</v>
      </c>
      <c r="D77" t="s">
        <v>42</v>
      </c>
      <c r="E77" t="s">
        <v>49</v>
      </c>
      <c r="F77" s="4">
        <v>3735.72</v>
      </c>
    </row>
    <row r="78" spans="1:6" hidden="1" x14ac:dyDescent="0.25">
      <c r="A78" t="s">
        <v>60</v>
      </c>
      <c r="B78" t="s">
        <v>48</v>
      </c>
      <c r="C78">
        <v>6800</v>
      </c>
      <c r="D78" t="s">
        <v>43</v>
      </c>
      <c r="E78" t="s">
        <v>49</v>
      </c>
      <c r="F78" s="4">
        <v>8269.02</v>
      </c>
    </row>
    <row r="79" spans="1:6" hidden="1" x14ac:dyDescent="0.25">
      <c r="A79" t="s">
        <v>60</v>
      </c>
      <c r="B79" t="s">
        <v>50</v>
      </c>
      <c r="C79">
        <v>6000</v>
      </c>
      <c r="D79" t="s">
        <v>38</v>
      </c>
      <c r="E79" t="s">
        <v>34</v>
      </c>
      <c r="F79" s="4">
        <v>253522.11</v>
      </c>
    </row>
    <row r="80" spans="1:6" hidden="1" x14ac:dyDescent="0.25">
      <c r="A80" t="s">
        <v>60</v>
      </c>
      <c r="B80" t="s">
        <v>50</v>
      </c>
      <c r="C80">
        <v>6010</v>
      </c>
      <c r="D80" t="s">
        <v>40</v>
      </c>
      <c r="E80" t="s">
        <v>34</v>
      </c>
      <c r="F80" s="4">
        <v>63404.54</v>
      </c>
    </row>
    <row r="81" spans="1:6" hidden="1" x14ac:dyDescent="0.25">
      <c r="A81" t="s">
        <v>60</v>
      </c>
      <c r="B81" t="s">
        <v>50</v>
      </c>
      <c r="C81">
        <v>6200</v>
      </c>
      <c r="D81" t="s">
        <v>41</v>
      </c>
      <c r="E81" t="s">
        <v>34</v>
      </c>
      <c r="F81" s="4">
        <v>11992.09</v>
      </c>
    </row>
    <row r="82" spans="1:6" hidden="1" x14ac:dyDescent="0.25">
      <c r="A82" t="s">
        <v>60</v>
      </c>
      <c r="B82" t="s">
        <v>50</v>
      </c>
      <c r="C82">
        <v>6300</v>
      </c>
      <c r="D82" t="s">
        <v>42</v>
      </c>
      <c r="E82" t="s">
        <v>34</v>
      </c>
      <c r="F82" s="4">
        <v>3695.76</v>
      </c>
    </row>
    <row r="83" spans="1:6" hidden="1" x14ac:dyDescent="0.25">
      <c r="A83" t="s">
        <v>60</v>
      </c>
      <c r="B83" t="s">
        <v>50</v>
      </c>
      <c r="C83">
        <v>6800</v>
      </c>
      <c r="D83" t="s">
        <v>43</v>
      </c>
      <c r="E83" t="s">
        <v>34</v>
      </c>
      <c r="F83" s="4">
        <v>7985.79</v>
      </c>
    </row>
    <row r="84" spans="1:6" hidden="1" x14ac:dyDescent="0.25">
      <c r="A84" t="s">
        <v>60</v>
      </c>
      <c r="B84" t="s">
        <v>51</v>
      </c>
      <c r="C84">
        <v>6000</v>
      </c>
      <c r="D84" t="s">
        <v>38</v>
      </c>
      <c r="E84" t="s">
        <v>34</v>
      </c>
      <c r="F84" s="4">
        <v>285218.65999999997</v>
      </c>
    </row>
    <row r="85" spans="1:6" hidden="1" x14ac:dyDescent="0.25">
      <c r="A85" t="s">
        <v>60</v>
      </c>
      <c r="B85" t="s">
        <v>51</v>
      </c>
      <c r="C85">
        <v>6010</v>
      </c>
      <c r="D85" t="s">
        <v>40</v>
      </c>
      <c r="E85" t="s">
        <v>34</v>
      </c>
      <c r="F85" s="4">
        <v>70190.429999999993</v>
      </c>
    </row>
    <row r="86" spans="1:6" hidden="1" x14ac:dyDescent="0.25">
      <c r="A86" t="s">
        <v>60</v>
      </c>
      <c r="B86" t="s">
        <v>51</v>
      </c>
      <c r="C86">
        <v>6200</v>
      </c>
      <c r="D86" t="s">
        <v>41</v>
      </c>
      <c r="E86" t="s">
        <v>34</v>
      </c>
      <c r="F86" s="4">
        <v>6805.03</v>
      </c>
    </row>
    <row r="87" spans="1:6" hidden="1" x14ac:dyDescent="0.25">
      <c r="A87" t="s">
        <v>60</v>
      </c>
      <c r="B87" t="s">
        <v>51</v>
      </c>
      <c r="C87">
        <v>6300</v>
      </c>
      <c r="D87" t="s">
        <v>42</v>
      </c>
      <c r="E87" t="s">
        <v>34</v>
      </c>
      <c r="F87" s="4">
        <v>15085.6</v>
      </c>
    </row>
    <row r="88" spans="1:6" hidden="1" x14ac:dyDescent="0.25">
      <c r="A88" t="s">
        <v>60</v>
      </c>
      <c r="B88" t="s">
        <v>51</v>
      </c>
      <c r="C88">
        <v>6800</v>
      </c>
      <c r="D88" t="s">
        <v>43</v>
      </c>
      <c r="E88" t="s">
        <v>34</v>
      </c>
      <c r="F88" s="4">
        <v>3900.36</v>
      </c>
    </row>
    <row r="89" spans="1:6" hidden="1" x14ac:dyDescent="0.25">
      <c r="A89" t="s">
        <v>60</v>
      </c>
      <c r="B89" t="s">
        <v>37</v>
      </c>
      <c r="C89">
        <v>6020</v>
      </c>
      <c r="D89" t="s">
        <v>52</v>
      </c>
      <c r="E89" t="s">
        <v>39</v>
      </c>
      <c r="F89" s="4">
        <v>192099.6</v>
      </c>
    </row>
    <row r="90" spans="1:6" hidden="1" x14ac:dyDescent="0.25">
      <c r="A90" t="s">
        <v>60</v>
      </c>
      <c r="B90" t="s">
        <v>46</v>
      </c>
      <c r="C90">
        <v>6100</v>
      </c>
      <c r="D90" t="s">
        <v>53</v>
      </c>
      <c r="E90" t="s">
        <v>47</v>
      </c>
      <c r="F90" s="4">
        <v>119308.14</v>
      </c>
    </row>
    <row r="91" spans="1:6" hidden="1" x14ac:dyDescent="0.25">
      <c r="A91" t="s">
        <v>60</v>
      </c>
      <c r="B91" t="s">
        <v>51</v>
      </c>
      <c r="C91">
        <v>6100</v>
      </c>
      <c r="D91" t="s">
        <v>53</v>
      </c>
      <c r="E91" t="s">
        <v>34</v>
      </c>
      <c r="F91" s="4">
        <v>59570.18</v>
      </c>
    </row>
    <row r="92" spans="1:6" hidden="1" x14ac:dyDescent="0.25">
      <c r="A92" t="s">
        <v>60</v>
      </c>
      <c r="B92" t="s">
        <v>44</v>
      </c>
      <c r="C92">
        <v>6400</v>
      </c>
      <c r="D92" t="s">
        <v>54</v>
      </c>
      <c r="E92" t="s">
        <v>39</v>
      </c>
      <c r="F92" s="4">
        <v>564123.98</v>
      </c>
    </row>
    <row r="93" spans="1:6" hidden="1" x14ac:dyDescent="0.25">
      <c r="A93" t="s">
        <v>60</v>
      </c>
      <c r="B93" t="s">
        <v>44</v>
      </c>
      <c r="C93">
        <v>6410</v>
      </c>
      <c r="D93" t="s">
        <v>55</v>
      </c>
      <c r="E93" t="s">
        <v>39</v>
      </c>
      <c r="F93" s="4">
        <v>50738.51</v>
      </c>
    </row>
    <row r="94" spans="1:6" hidden="1" x14ac:dyDescent="0.25">
      <c r="A94" t="s">
        <v>60</v>
      </c>
      <c r="B94" t="s">
        <v>48</v>
      </c>
      <c r="C94">
        <v>6500</v>
      </c>
      <c r="D94" t="s">
        <v>56</v>
      </c>
      <c r="E94" t="s">
        <v>49</v>
      </c>
      <c r="F94" s="4">
        <v>40016.9</v>
      </c>
    </row>
    <row r="95" spans="1:6" hidden="1" x14ac:dyDescent="0.25">
      <c r="A95" t="s">
        <v>60</v>
      </c>
      <c r="B95" t="s">
        <v>48</v>
      </c>
      <c r="C95">
        <v>6510</v>
      </c>
      <c r="D95" t="s">
        <v>57</v>
      </c>
      <c r="E95" t="s">
        <v>49</v>
      </c>
      <c r="F95" s="4">
        <v>139845.28</v>
      </c>
    </row>
    <row r="96" spans="1:6" hidden="1" x14ac:dyDescent="0.25">
      <c r="A96" t="s">
        <v>60</v>
      </c>
      <c r="B96" t="s">
        <v>48</v>
      </c>
      <c r="C96">
        <v>6600</v>
      </c>
      <c r="D96" t="s">
        <v>58</v>
      </c>
      <c r="E96" t="s">
        <v>49</v>
      </c>
      <c r="F96" s="4">
        <v>312000</v>
      </c>
    </row>
    <row r="97" spans="1:6" hidden="1" x14ac:dyDescent="0.25">
      <c r="A97" t="s">
        <v>60</v>
      </c>
      <c r="B97" t="s">
        <v>48</v>
      </c>
      <c r="C97">
        <v>6700</v>
      </c>
      <c r="D97" t="s">
        <v>59</v>
      </c>
      <c r="E97" t="s">
        <v>49</v>
      </c>
      <c r="F97" s="4">
        <v>141000</v>
      </c>
    </row>
    <row r="98" spans="1:6" hidden="1" x14ac:dyDescent="0.25">
      <c r="A98" t="s">
        <v>61</v>
      </c>
      <c r="B98" t="s">
        <v>31</v>
      </c>
      <c r="C98">
        <v>4000</v>
      </c>
      <c r="D98" t="s">
        <v>32</v>
      </c>
      <c r="E98" t="s">
        <v>31</v>
      </c>
      <c r="F98" s="4">
        <v>9230942.1300000008</v>
      </c>
    </row>
    <row r="99" spans="1:6" x14ac:dyDescent="0.25">
      <c r="A99" t="s">
        <v>61</v>
      </c>
      <c r="B99" t="s">
        <v>31</v>
      </c>
      <c r="C99">
        <v>4100</v>
      </c>
      <c r="D99" t="s">
        <v>33</v>
      </c>
      <c r="E99" t="s">
        <v>31</v>
      </c>
      <c r="F99" s="4">
        <v>722000</v>
      </c>
    </row>
    <row r="100" spans="1:6" hidden="1" x14ac:dyDescent="0.25">
      <c r="A100" t="s">
        <v>61</v>
      </c>
      <c r="B100" t="s">
        <v>34</v>
      </c>
      <c r="C100">
        <v>5000</v>
      </c>
      <c r="D100" t="s">
        <v>35</v>
      </c>
      <c r="E100" t="s">
        <v>34</v>
      </c>
      <c r="F100" s="4">
        <v>921552.35</v>
      </c>
    </row>
    <row r="101" spans="1:6" hidden="1" x14ac:dyDescent="0.25">
      <c r="A101" t="s">
        <v>61</v>
      </c>
      <c r="B101" t="s">
        <v>34</v>
      </c>
      <c r="C101">
        <v>5300</v>
      </c>
      <c r="D101" t="s">
        <v>36</v>
      </c>
      <c r="E101" t="s">
        <v>34</v>
      </c>
      <c r="F101" s="4">
        <v>169818.97</v>
      </c>
    </row>
    <row r="102" spans="1:6" hidden="1" x14ac:dyDescent="0.25">
      <c r="A102" t="s">
        <v>61</v>
      </c>
      <c r="B102" t="s">
        <v>37</v>
      </c>
      <c r="C102">
        <v>6000</v>
      </c>
      <c r="D102" t="s">
        <v>38</v>
      </c>
      <c r="E102" t="s">
        <v>39</v>
      </c>
      <c r="F102" s="4">
        <v>782421.7</v>
      </c>
    </row>
    <row r="103" spans="1:6" hidden="1" x14ac:dyDescent="0.25">
      <c r="A103" t="s">
        <v>61</v>
      </c>
      <c r="B103" t="s">
        <v>37</v>
      </c>
      <c r="C103">
        <v>6010</v>
      </c>
      <c r="D103" t="s">
        <v>40</v>
      </c>
      <c r="E103" t="s">
        <v>39</v>
      </c>
      <c r="F103" s="4">
        <v>196761.28</v>
      </c>
    </row>
    <row r="104" spans="1:6" hidden="1" x14ac:dyDescent="0.25">
      <c r="A104" t="s">
        <v>61</v>
      </c>
      <c r="B104" t="s">
        <v>37</v>
      </c>
      <c r="C104">
        <v>6200</v>
      </c>
      <c r="D104" t="s">
        <v>41</v>
      </c>
      <c r="E104" t="s">
        <v>39</v>
      </c>
      <c r="F104" s="4">
        <v>26755.119999999999</v>
      </c>
    </row>
    <row r="105" spans="1:6" hidden="1" x14ac:dyDescent="0.25">
      <c r="A105" t="s">
        <v>61</v>
      </c>
      <c r="B105" t="s">
        <v>37</v>
      </c>
      <c r="C105">
        <v>6300</v>
      </c>
      <c r="D105" t="s">
        <v>42</v>
      </c>
      <c r="E105" t="s">
        <v>39</v>
      </c>
      <c r="F105" s="4">
        <v>64351.56</v>
      </c>
    </row>
    <row r="106" spans="1:6" hidden="1" x14ac:dyDescent="0.25">
      <c r="A106" t="s">
        <v>61</v>
      </c>
      <c r="B106" t="s">
        <v>37</v>
      </c>
      <c r="C106">
        <v>6800</v>
      </c>
      <c r="D106" t="s">
        <v>43</v>
      </c>
      <c r="E106" t="s">
        <v>39</v>
      </c>
      <c r="F106" s="4">
        <v>17468.330000000002</v>
      </c>
    </row>
    <row r="107" spans="1:6" hidden="1" x14ac:dyDescent="0.25">
      <c r="A107" t="s">
        <v>61</v>
      </c>
      <c r="B107" t="s">
        <v>44</v>
      </c>
      <c r="C107">
        <v>6000</v>
      </c>
      <c r="D107" t="s">
        <v>38</v>
      </c>
      <c r="E107" t="s">
        <v>39</v>
      </c>
      <c r="F107" s="4">
        <v>273175.59000000003</v>
      </c>
    </row>
    <row r="108" spans="1:6" hidden="1" x14ac:dyDescent="0.25">
      <c r="A108" t="s">
        <v>61</v>
      </c>
      <c r="B108" t="s">
        <v>44</v>
      </c>
      <c r="C108">
        <v>6010</v>
      </c>
      <c r="D108" t="s">
        <v>40</v>
      </c>
      <c r="E108" t="s">
        <v>39</v>
      </c>
      <c r="F108" s="4">
        <v>65606.3</v>
      </c>
    </row>
    <row r="109" spans="1:6" hidden="1" x14ac:dyDescent="0.25">
      <c r="A109" t="s">
        <v>61</v>
      </c>
      <c r="B109" t="s">
        <v>44</v>
      </c>
      <c r="C109">
        <v>6200</v>
      </c>
      <c r="D109" t="s">
        <v>41</v>
      </c>
      <c r="E109" t="s">
        <v>39</v>
      </c>
      <c r="F109" s="4">
        <v>8446.59</v>
      </c>
    </row>
    <row r="110" spans="1:6" hidden="1" x14ac:dyDescent="0.25">
      <c r="A110" t="s">
        <v>61</v>
      </c>
      <c r="B110" t="s">
        <v>44</v>
      </c>
      <c r="C110">
        <v>6300</v>
      </c>
      <c r="D110" t="s">
        <v>42</v>
      </c>
      <c r="E110" t="s">
        <v>39</v>
      </c>
      <c r="F110" s="4">
        <v>7541.57</v>
      </c>
    </row>
    <row r="111" spans="1:6" hidden="1" x14ac:dyDescent="0.25">
      <c r="A111" t="s">
        <v>61</v>
      </c>
      <c r="B111" t="s">
        <v>44</v>
      </c>
      <c r="C111">
        <v>6800</v>
      </c>
      <c r="D111" t="s">
        <v>43</v>
      </c>
      <c r="E111" t="s">
        <v>39</v>
      </c>
      <c r="F111" s="4">
        <v>8957</v>
      </c>
    </row>
    <row r="112" spans="1:6" hidden="1" x14ac:dyDescent="0.25">
      <c r="A112" t="s">
        <v>61</v>
      </c>
      <c r="B112" t="s">
        <v>45</v>
      </c>
      <c r="C112">
        <v>6000</v>
      </c>
      <c r="D112" t="s">
        <v>38</v>
      </c>
      <c r="E112" t="s">
        <v>39</v>
      </c>
      <c r="F112" s="4">
        <v>284884.57</v>
      </c>
    </row>
    <row r="113" spans="1:6" hidden="1" x14ac:dyDescent="0.25">
      <c r="A113" t="s">
        <v>61</v>
      </c>
      <c r="B113" t="s">
        <v>45</v>
      </c>
      <c r="C113">
        <v>6010</v>
      </c>
      <c r="D113" t="s">
        <v>40</v>
      </c>
      <c r="E113" t="s">
        <v>39</v>
      </c>
      <c r="F113" s="4">
        <v>68654.59</v>
      </c>
    </row>
    <row r="114" spans="1:6" hidden="1" x14ac:dyDescent="0.25">
      <c r="A114" t="s">
        <v>61</v>
      </c>
      <c r="B114" t="s">
        <v>45</v>
      </c>
      <c r="C114">
        <v>6200</v>
      </c>
      <c r="D114" t="s">
        <v>41</v>
      </c>
      <c r="E114" t="s">
        <v>39</v>
      </c>
      <c r="F114" s="4">
        <v>9181.7199999999993</v>
      </c>
    </row>
    <row r="115" spans="1:6" hidden="1" x14ac:dyDescent="0.25">
      <c r="A115" t="s">
        <v>61</v>
      </c>
      <c r="B115" t="s">
        <v>45</v>
      </c>
      <c r="C115">
        <v>6300</v>
      </c>
      <c r="D115" t="s">
        <v>42</v>
      </c>
      <c r="E115" t="s">
        <v>39</v>
      </c>
      <c r="F115" s="4">
        <v>9375.7900000000009</v>
      </c>
    </row>
    <row r="116" spans="1:6" hidden="1" x14ac:dyDescent="0.25">
      <c r="A116" t="s">
        <v>61</v>
      </c>
      <c r="B116" t="s">
        <v>45</v>
      </c>
      <c r="C116">
        <v>6800</v>
      </c>
      <c r="D116" t="s">
        <v>43</v>
      </c>
      <c r="E116" t="s">
        <v>39</v>
      </c>
      <c r="F116" s="4">
        <v>13535.15</v>
      </c>
    </row>
    <row r="117" spans="1:6" hidden="1" x14ac:dyDescent="0.25">
      <c r="A117" t="s">
        <v>61</v>
      </c>
      <c r="B117" t="s">
        <v>46</v>
      </c>
      <c r="C117">
        <v>6000</v>
      </c>
      <c r="D117" t="s">
        <v>38</v>
      </c>
      <c r="E117" t="s">
        <v>47</v>
      </c>
      <c r="F117" s="4">
        <v>2065871.16</v>
      </c>
    </row>
    <row r="118" spans="1:6" hidden="1" x14ac:dyDescent="0.25">
      <c r="A118" t="s">
        <v>61</v>
      </c>
      <c r="B118" t="s">
        <v>46</v>
      </c>
      <c r="C118">
        <v>6010</v>
      </c>
      <c r="D118" t="s">
        <v>40</v>
      </c>
      <c r="E118" t="s">
        <v>47</v>
      </c>
      <c r="F118" s="4">
        <v>499594.78</v>
      </c>
    </row>
    <row r="119" spans="1:6" hidden="1" x14ac:dyDescent="0.25">
      <c r="A119" t="s">
        <v>61</v>
      </c>
      <c r="B119" t="s">
        <v>46</v>
      </c>
      <c r="C119">
        <v>6200</v>
      </c>
      <c r="D119" t="s">
        <v>41</v>
      </c>
      <c r="E119" t="s">
        <v>47</v>
      </c>
      <c r="F119" s="4">
        <v>40030.910000000003</v>
      </c>
    </row>
    <row r="120" spans="1:6" hidden="1" x14ac:dyDescent="0.25">
      <c r="A120" t="s">
        <v>61</v>
      </c>
      <c r="B120" t="s">
        <v>46</v>
      </c>
      <c r="C120">
        <v>6300</v>
      </c>
      <c r="D120" t="s">
        <v>42</v>
      </c>
      <c r="E120" t="s">
        <v>47</v>
      </c>
      <c r="F120" s="4">
        <v>13330.58</v>
      </c>
    </row>
    <row r="121" spans="1:6" hidden="1" x14ac:dyDescent="0.25">
      <c r="A121" t="s">
        <v>61</v>
      </c>
      <c r="B121" t="s">
        <v>46</v>
      </c>
      <c r="C121">
        <v>6800</v>
      </c>
      <c r="D121" t="s">
        <v>43</v>
      </c>
      <c r="E121" t="s">
        <v>47</v>
      </c>
      <c r="F121" s="4">
        <v>11912.48</v>
      </c>
    </row>
    <row r="122" spans="1:6" hidden="1" x14ac:dyDescent="0.25">
      <c r="A122" t="s">
        <v>61</v>
      </c>
      <c r="B122" t="s">
        <v>48</v>
      </c>
      <c r="C122">
        <v>6000</v>
      </c>
      <c r="D122" t="s">
        <v>38</v>
      </c>
      <c r="E122" t="s">
        <v>49</v>
      </c>
      <c r="F122" s="4">
        <v>455744.79</v>
      </c>
    </row>
    <row r="123" spans="1:6" hidden="1" x14ac:dyDescent="0.25">
      <c r="A123" t="s">
        <v>61</v>
      </c>
      <c r="B123" t="s">
        <v>48</v>
      </c>
      <c r="C123">
        <v>6010</v>
      </c>
      <c r="D123" t="s">
        <v>40</v>
      </c>
      <c r="E123" t="s">
        <v>49</v>
      </c>
      <c r="F123" s="4">
        <v>114697.66</v>
      </c>
    </row>
    <row r="124" spans="1:6" hidden="1" x14ac:dyDescent="0.25">
      <c r="A124" t="s">
        <v>61</v>
      </c>
      <c r="B124" t="s">
        <v>48</v>
      </c>
      <c r="C124">
        <v>6200</v>
      </c>
      <c r="D124" t="s">
        <v>41</v>
      </c>
      <c r="E124" t="s">
        <v>49</v>
      </c>
      <c r="F124" s="4">
        <v>11606.68</v>
      </c>
    </row>
    <row r="125" spans="1:6" hidden="1" x14ac:dyDescent="0.25">
      <c r="A125" t="s">
        <v>61</v>
      </c>
      <c r="B125" t="s">
        <v>48</v>
      </c>
      <c r="C125">
        <v>6300</v>
      </c>
      <c r="D125" t="s">
        <v>42</v>
      </c>
      <c r="E125" t="s">
        <v>49</v>
      </c>
      <c r="F125" s="4">
        <v>3955.98</v>
      </c>
    </row>
    <row r="126" spans="1:6" hidden="1" x14ac:dyDescent="0.25">
      <c r="A126" t="s">
        <v>61</v>
      </c>
      <c r="B126" t="s">
        <v>48</v>
      </c>
      <c r="C126">
        <v>6800</v>
      </c>
      <c r="D126" t="s">
        <v>43</v>
      </c>
      <c r="E126" t="s">
        <v>49</v>
      </c>
      <c r="F126" s="4">
        <v>4028.55</v>
      </c>
    </row>
    <row r="127" spans="1:6" hidden="1" x14ac:dyDescent="0.25">
      <c r="A127" t="s">
        <v>61</v>
      </c>
      <c r="B127" t="s">
        <v>50</v>
      </c>
      <c r="C127">
        <v>6000</v>
      </c>
      <c r="D127" t="s">
        <v>38</v>
      </c>
      <c r="E127" t="s">
        <v>34</v>
      </c>
      <c r="F127" s="4">
        <v>253564.13</v>
      </c>
    </row>
    <row r="128" spans="1:6" hidden="1" x14ac:dyDescent="0.25">
      <c r="A128" t="s">
        <v>61</v>
      </c>
      <c r="B128" t="s">
        <v>50</v>
      </c>
      <c r="C128">
        <v>6010</v>
      </c>
      <c r="D128" t="s">
        <v>40</v>
      </c>
      <c r="E128" t="s">
        <v>34</v>
      </c>
      <c r="F128" s="4">
        <v>62146.93</v>
      </c>
    </row>
    <row r="129" spans="1:6" hidden="1" x14ac:dyDescent="0.25">
      <c r="A129" t="s">
        <v>61</v>
      </c>
      <c r="B129" t="s">
        <v>50</v>
      </c>
      <c r="C129">
        <v>6200</v>
      </c>
      <c r="D129" t="s">
        <v>41</v>
      </c>
      <c r="E129" t="s">
        <v>34</v>
      </c>
      <c r="F129" s="4">
        <v>11271.04</v>
      </c>
    </row>
    <row r="130" spans="1:6" hidden="1" x14ac:dyDescent="0.25">
      <c r="A130" t="s">
        <v>61</v>
      </c>
      <c r="B130" t="s">
        <v>50</v>
      </c>
      <c r="C130">
        <v>6300</v>
      </c>
      <c r="D130" t="s">
        <v>42</v>
      </c>
      <c r="E130" t="s">
        <v>34</v>
      </c>
      <c r="F130" s="4">
        <v>3660.73</v>
      </c>
    </row>
    <row r="131" spans="1:6" hidden="1" x14ac:dyDescent="0.25">
      <c r="A131" t="s">
        <v>61</v>
      </c>
      <c r="B131" t="s">
        <v>50</v>
      </c>
      <c r="C131">
        <v>6800</v>
      </c>
      <c r="D131" t="s">
        <v>43</v>
      </c>
      <c r="E131" t="s">
        <v>34</v>
      </c>
      <c r="F131" s="4">
        <v>3991.77</v>
      </c>
    </row>
    <row r="132" spans="1:6" hidden="1" x14ac:dyDescent="0.25">
      <c r="A132" t="s">
        <v>61</v>
      </c>
      <c r="B132" t="s">
        <v>51</v>
      </c>
      <c r="C132">
        <v>6000</v>
      </c>
      <c r="D132" t="s">
        <v>38</v>
      </c>
      <c r="E132" t="s">
        <v>34</v>
      </c>
      <c r="F132" s="4">
        <v>284943.65999999997</v>
      </c>
    </row>
    <row r="133" spans="1:6" hidden="1" x14ac:dyDescent="0.25">
      <c r="A133" t="s">
        <v>61</v>
      </c>
      <c r="B133" t="s">
        <v>51</v>
      </c>
      <c r="C133">
        <v>6010</v>
      </c>
      <c r="D133" t="s">
        <v>40</v>
      </c>
      <c r="E133" t="s">
        <v>34</v>
      </c>
      <c r="F133" s="4">
        <v>71309.67</v>
      </c>
    </row>
    <row r="134" spans="1:6" hidden="1" x14ac:dyDescent="0.25">
      <c r="A134" t="s">
        <v>61</v>
      </c>
      <c r="B134" t="s">
        <v>51</v>
      </c>
      <c r="C134">
        <v>6200</v>
      </c>
      <c r="D134" t="s">
        <v>41</v>
      </c>
      <c r="E134" t="s">
        <v>34</v>
      </c>
      <c r="F134" s="4">
        <v>7101.72</v>
      </c>
    </row>
    <row r="135" spans="1:6" hidden="1" x14ac:dyDescent="0.25">
      <c r="A135" t="s">
        <v>61</v>
      </c>
      <c r="B135" t="s">
        <v>51</v>
      </c>
      <c r="C135">
        <v>6300</v>
      </c>
      <c r="D135" t="s">
        <v>42</v>
      </c>
      <c r="E135" t="s">
        <v>34</v>
      </c>
      <c r="F135" s="4">
        <v>13911.93</v>
      </c>
    </row>
    <row r="136" spans="1:6" hidden="1" x14ac:dyDescent="0.25">
      <c r="A136" t="s">
        <v>61</v>
      </c>
      <c r="B136" t="s">
        <v>51</v>
      </c>
      <c r="C136">
        <v>6800</v>
      </c>
      <c r="D136" t="s">
        <v>43</v>
      </c>
      <c r="E136" t="s">
        <v>34</v>
      </c>
      <c r="F136" s="4">
        <v>13469.9</v>
      </c>
    </row>
    <row r="137" spans="1:6" hidden="1" x14ac:dyDescent="0.25">
      <c r="A137" t="s">
        <v>61</v>
      </c>
      <c r="B137" t="s">
        <v>37</v>
      </c>
      <c r="C137">
        <v>6020</v>
      </c>
      <c r="D137" t="s">
        <v>52</v>
      </c>
      <c r="E137" t="s">
        <v>39</v>
      </c>
      <c r="F137" s="4">
        <v>283941.5</v>
      </c>
    </row>
    <row r="138" spans="1:6" hidden="1" x14ac:dyDescent="0.25">
      <c r="A138" t="s">
        <v>61</v>
      </c>
      <c r="B138" t="s">
        <v>46</v>
      </c>
      <c r="C138">
        <v>6100</v>
      </c>
      <c r="D138" t="s">
        <v>53</v>
      </c>
      <c r="E138" t="s">
        <v>47</v>
      </c>
      <c r="F138" s="4">
        <v>124747.06</v>
      </c>
    </row>
    <row r="139" spans="1:6" hidden="1" x14ac:dyDescent="0.25">
      <c r="A139" t="s">
        <v>61</v>
      </c>
      <c r="B139" t="s">
        <v>51</v>
      </c>
      <c r="C139">
        <v>6100</v>
      </c>
      <c r="D139" t="s">
        <v>53</v>
      </c>
      <c r="E139" t="s">
        <v>34</v>
      </c>
      <c r="F139" s="4">
        <v>54570.15</v>
      </c>
    </row>
    <row r="140" spans="1:6" hidden="1" x14ac:dyDescent="0.25">
      <c r="A140" t="s">
        <v>61</v>
      </c>
      <c r="B140" t="s">
        <v>44</v>
      </c>
      <c r="C140">
        <v>6400</v>
      </c>
      <c r="D140" t="s">
        <v>54</v>
      </c>
      <c r="E140" t="s">
        <v>39</v>
      </c>
      <c r="F140" s="4">
        <v>619031.68999999994</v>
      </c>
    </row>
    <row r="141" spans="1:6" hidden="1" x14ac:dyDescent="0.25">
      <c r="A141" t="s">
        <v>61</v>
      </c>
      <c r="B141" t="s">
        <v>44</v>
      </c>
      <c r="C141">
        <v>6410</v>
      </c>
      <c r="D141" t="s">
        <v>55</v>
      </c>
      <c r="E141" t="s">
        <v>39</v>
      </c>
      <c r="F141" s="4">
        <v>48229.48</v>
      </c>
    </row>
    <row r="142" spans="1:6" hidden="1" x14ac:dyDescent="0.25">
      <c r="A142" t="s">
        <v>61</v>
      </c>
      <c r="B142" t="s">
        <v>48</v>
      </c>
      <c r="C142">
        <v>6500</v>
      </c>
      <c r="D142" t="s">
        <v>56</v>
      </c>
      <c r="E142" t="s">
        <v>49</v>
      </c>
      <c r="F142" s="4">
        <v>49693.41</v>
      </c>
    </row>
    <row r="143" spans="1:6" hidden="1" x14ac:dyDescent="0.25">
      <c r="A143" t="s">
        <v>61</v>
      </c>
      <c r="B143" t="s">
        <v>48</v>
      </c>
      <c r="C143">
        <v>6510</v>
      </c>
      <c r="D143" t="s">
        <v>57</v>
      </c>
      <c r="E143" t="s">
        <v>49</v>
      </c>
      <c r="F143" s="4">
        <v>108934.78</v>
      </c>
    </row>
    <row r="144" spans="1:6" hidden="1" x14ac:dyDescent="0.25">
      <c r="A144" t="s">
        <v>61</v>
      </c>
      <c r="B144" t="s">
        <v>48</v>
      </c>
      <c r="C144">
        <v>6600</v>
      </c>
      <c r="D144" t="s">
        <v>58</v>
      </c>
      <c r="E144" t="s">
        <v>49</v>
      </c>
      <c r="F144" s="4">
        <v>312000</v>
      </c>
    </row>
    <row r="145" spans="1:6" hidden="1" x14ac:dyDescent="0.25">
      <c r="A145" t="s">
        <v>61</v>
      </c>
      <c r="B145" t="s">
        <v>48</v>
      </c>
      <c r="C145">
        <v>6700</v>
      </c>
      <c r="D145" t="s">
        <v>59</v>
      </c>
      <c r="E145" t="s">
        <v>49</v>
      </c>
      <c r="F145" s="4">
        <v>142500</v>
      </c>
    </row>
    <row r="146" spans="1:6" hidden="1" x14ac:dyDescent="0.25">
      <c r="A146" t="s">
        <v>62</v>
      </c>
      <c r="B146" t="s">
        <v>31</v>
      </c>
      <c r="C146">
        <v>4000</v>
      </c>
      <c r="D146" t="s">
        <v>32</v>
      </c>
      <c r="E146" t="s">
        <v>31</v>
      </c>
      <c r="F146" s="4">
        <v>9363065.5999999996</v>
      </c>
    </row>
    <row r="147" spans="1:6" x14ac:dyDescent="0.25">
      <c r="A147" t="s">
        <v>62</v>
      </c>
      <c r="B147" t="s">
        <v>31</v>
      </c>
      <c r="C147">
        <v>4100</v>
      </c>
      <c r="D147" t="s">
        <v>33</v>
      </c>
      <c r="E147" t="s">
        <v>31</v>
      </c>
      <c r="F147" s="4">
        <v>784400</v>
      </c>
    </row>
    <row r="148" spans="1:6" hidden="1" x14ac:dyDescent="0.25">
      <c r="A148" t="s">
        <v>62</v>
      </c>
      <c r="B148" t="s">
        <v>34</v>
      </c>
      <c r="C148">
        <v>5000</v>
      </c>
      <c r="D148" t="s">
        <v>35</v>
      </c>
      <c r="E148" t="s">
        <v>34</v>
      </c>
      <c r="F148" s="4">
        <v>930214.69</v>
      </c>
    </row>
    <row r="149" spans="1:6" hidden="1" x14ac:dyDescent="0.25">
      <c r="A149" t="s">
        <v>62</v>
      </c>
      <c r="B149" t="s">
        <v>34</v>
      </c>
      <c r="C149">
        <v>5300</v>
      </c>
      <c r="D149" t="s">
        <v>36</v>
      </c>
      <c r="E149" t="s">
        <v>34</v>
      </c>
      <c r="F149" s="4">
        <v>178119.01</v>
      </c>
    </row>
    <row r="150" spans="1:6" hidden="1" x14ac:dyDescent="0.25">
      <c r="A150" t="s">
        <v>62</v>
      </c>
      <c r="B150" t="s">
        <v>37</v>
      </c>
      <c r="C150">
        <v>6000</v>
      </c>
      <c r="D150" t="s">
        <v>38</v>
      </c>
      <c r="E150" t="s">
        <v>39</v>
      </c>
      <c r="F150" s="4">
        <v>802423.27</v>
      </c>
    </row>
    <row r="151" spans="1:6" hidden="1" x14ac:dyDescent="0.25">
      <c r="A151" t="s">
        <v>62</v>
      </c>
      <c r="B151" t="s">
        <v>37</v>
      </c>
      <c r="C151">
        <v>6010</v>
      </c>
      <c r="D151" t="s">
        <v>40</v>
      </c>
      <c r="E151" t="s">
        <v>39</v>
      </c>
      <c r="F151" s="4">
        <v>166608.97</v>
      </c>
    </row>
    <row r="152" spans="1:6" hidden="1" x14ac:dyDescent="0.25">
      <c r="A152" t="s">
        <v>62</v>
      </c>
      <c r="B152" t="s">
        <v>37</v>
      </c>
      <c r="C152">
        <v>6200</v>
      </c>
      <c r="D152" t="s">
        <v>41</v>
      </c>
      <c r="E152" t="s">
        <v>39</v>
      </c>
      <c r="F152" s="4">
        <v>23261.95</v>
      </c>
    </row>
    <row r="153" spans="1:6" hidden="1" x14ac:dyDescent="0.25">
      <c r="A153" t="s">
        <v>62</v>
      </c>
      <c r="B153" t="s">
        <v>37</v>
      </c>
      <c r="C153">
        <v>6300</v>
      </c>
      <c r="D153" t="s">
        <v>42</v>
      </c>
      <c r="E153" t="s">
        <v>39</v>
      </c>
      <c r="F153" s="4">
        <v>54963.06</v>
      </c>
    </row>
    <row r="154" spans="1:6" hidden="1" x14ac:dyDescent="0.25">
      <c r="A154" t="s">
        <v>62</v>
      </c>
      <c r="B154" t="s">
        <v>37</v>
      </c>
      <c r="C154">
        <v>6800</v>
      </c>
      <c r="D154" t="s">
        <v>43</v>
      </c>
      <c r="E154" t="s">
        <v>39</v>
      </c>
      <c r="F154" s="4">
        <v>24087.87</v>
      </c>
    </row>
    <row r="155" spans="1:6" hidden="1" x14ac:dyDescent="0.25">
      <c r="A155" t="s">
        <v>62</v>
      </c>
      <c r="B155" t="s">
        <v>44</v>
      </c>
      <c r="C155">
        <v>6000</v>
      </c>
      <c r="D155" t="s">
        <v>38</v>
      </c>
      <c r="E155" t="s">
        <v>39</v>
      </c>
      <c r="F155" s="4">
        <v>279907.75</v>
      </c>
    </row>
    <row r="156" spans="1:6" hidden="1" x14ac:dyDescent="0.25">
      <c r="A156" t="s">
        <v>62</v>
      </c>
      <c r="B156" t="s">
        <v>44</v>
      </c>
      <c r="C156">
        <v>6010</v>
      </c>
      <c r="D156" t="s">
        <v>40</v>
      </c>
      <c r="E156" t="s">
        <v>39</v>
      </c>
      <c r="F156" s="4">
        <v>55937.02</v>
      </c>
    </row>
    <row r="157" spans="1:6" hidden="1" x14ac:dyDescent="0.25">
      <c r="A157" t="s">
        <v>62</v>
      </c>
      <c r="B157" t="s">
        <v>44</v>
      </c>
      <c r="C157">
        <v>6200</v>
      </c>
      <c r="D157" t="s">
        <v>41</v>
      </c>
      <c r="E157" t="s">
        <v>39</v>
      </c>
      <c r="F157" s="4">
        <v>8165.67</v>
      </c>
    </row>
    <row r="158" spans="1:6" hidden="1" x14ac:dyDescent="0.25">
      <c r="A158" t="s">
        <v>62</v>
      </c>
      <c r="B158" t="s">
        <v>44</v>
      </c>
      <c r="C158">
        <v>6300</v>
      </c>
      <c r="D158" t="s">
        <v>42</v>
      </c>
      <c r="E158" t="s">
        <v>39</v>
      </c>
      <c r="F158" s="4">
        <v>10107.790000000001</v>
      </c>
    </row>
    <row r="159" spans="1:6" hidden="1" x14ac:dyDescent="0.25">
      <c r="A159" t="s">
        <v>62</v>
      </c>
      <c r="B159" t="s">
        <v>44</v>
      </c>
      <c r="C159">
        <v>6800</v>
      </c>
      <c r="D159" t="s">
        <v>43</v>
      </c>
      <c r="E159" t="s">
        <v>39</v>
      </c>
      <c r="F159" s="4">
        <v>3875.82</v>
      </c>
    </row>
    <row r="160" spans="1:6" hidden="1" x14ac:dyDescent="0.25">
      <c r="A160" t="s">
        <v>62</v>
      </c>
      <c r="B160" t="s">
        <v>45</v>
      </c>
      <c r="C160">
        <v>6000</v>
      </c>
      <c r="D160" t="s">
        <v>38</v>
      </c>
      <c r="E160" t="s">
        <v>39</v>
      </c>
      <c r="F160" s="4">
        <v>296829.15999999997</v>
      </c>
    </row>
    <row r="161" spans="1:6" hidden="1" x14ac:dyDescent="0.25">
      <c r="A161" t="s">
        <v>62</v>
      </c>
      <c r="B161" t="s">
        <v>45</v>
      </c>
      <c r="C161">
        <v>6010</v>
      </c>
      <c r="D161" t="s">
        <v>40</v>
      </c>
      <c r="E161" t="s">
        <v>39</v>
      </c>
      <c r="F161" s="4">
        <v>60339.38</v>
      </c>
    </row>
    <row r="162" spans="1:6" hidden="1" x14ac:dyDescent="0.25">
      <c r="A162" t="s">
        <v>62</v>
      </c>
      <c r="B162" t="s">
        <v>45</v>
      </c>
      <c r="C162">
        <v>6200</v>
      </c>
      <c r="D162" t="s">
        <v>41</v>
      </c>
      <c r="E162" t="s">
        <v>39</v>
      </c>
      <c r="F162" s="4">
        <v>10123.86</v>
      </c>
    </row>
    <row r="163" spans="1:6" hidden="1" x14ac:dyDescent="0.25">
      <c r="A163" t="s">
        <v>62</v>
      </c>
      <c r="B163" t="s">
        <v>45</v>
      </c>
      <c r="C163">
        <v>6300</v>
      </c>
      <c r="D163" t="s">
        <v>42</v>
      </c>
      <c r="E163" t="s">
        <v>39</v>
      </c>
      <c r="F163" s="4">
        <v>10802</v>
      </c>
    </row>
    <row r="164" spans="1:6" hidden="1" x14ac:dyDescent="0.25">
      <c r="A164" t="s">
        <v>62</v>
      </c>
      <c r="B164" t="s">
        <v>45</v>
      </c>
      <c r="C164">
        <v>6800</v>
      </c>
      <c r="D164" t="s">
        <v>43</v>
      </c>
      <c r="E164" t="s">
        <v>39</v>
      </c>
      <c r="F164" s="4">
        <v>12416.26</v>
      </c>
    </row>
    <row r="165" spans="1:6" hidden="1" x14ac:dyDescent="0.25">
      <c r="A165" t="s">
        <v>62</v>
      </c>
      <c r="B165" t="s">
        <v>46</v>
      </c>
      <c r="C165">
        <v>6000</v>
      </c>
      <c r="D165" t="s">
        <v>38</v>
      </c>
      <c r="E165" t="s">
        <v>47</v>
      </c>
      <c r="F165" s="4">
        <v>2100314.0099999998</v>
      </c>
    </row>
    <row r="166" spans="1:6" hidden="1" x14ac:dyDescent="0.25">
      <c r="A166" t="s">
        <v>62</v>
      </c>
      <c r="B166" t="s">
        <v>46</v>
      </c>
      <c r="C166">
        <v>6010</v>
      </c>
      <c r="D166" t="s">
        <v>40</v>
      </c>
      <c r="E166" t="s">
        <v>47</v>
      </c>
      <c r="F166" s="4">
        <v>430690.42</v>
      </c>
    </row>
    <row r="167" spans="1:6" hidden="1" x14ac:dyDescent="0.25">
      <c r="A167" t="s">
        <v>62</v>
      </c>
      <c r="B167" t="s">
        <v>46</v>
      </c>
      <c r="C167">
        <v>6200</v>
      </c>
      <c r="D167" t="s">
        <v>41</v>
      </c>
      <c r="E167" t="s">
        <v>47</v>
      </c>
      <c r="F167" s="4">
        <v>38648.75</v>
      </c>
    </row>
    <row r="168" spans="1:6" hidden="1" x14ac:dyDescent="0.25">
      <c r="A168" t="s">
        <v>62</v>
      </c>
      <c r="B168" t="s">
        <v>46</v>
      </c>
      <c r="C168">
        <v>6300</v>
      </c>
      <c r="D168" t="s">
        <v>42</v>
      </c>
      <c r="E168" t="s">
        <v>47</v>
      </c>
      <c r="F168" s="4">
        <v>14533.93</v>
      </c>
    </row>
    <row r="169" spans="1:6" hidden="1" x14ac:dyDescent="0.25">
      <c r="A169" t="s">
        <v>62</v>
      </c>
      <c r="B169" t="s">
        <v>46</v>
      </c>
      <c r="C169">
        <v>6800</v>
      </c>
      <c r="D169" t="s">
        <v>43</v>
      </c>
      <c r="E169" t="s">
        <v>47</v>
      </c>
      <c r="F169" s="4">
        <v>18173.34</v>
      </c>
    </row>
    <row r="170" spans="1:6" hidden="1" x14ac:dyDescent="0.25">
      <c r="A170" t="s">
        <v>62</v>
      </c>
      <c r="B170" t="s">
        <v>48</v>
      </c>
      <c r="C170">
        <v>6000</v>
      </c>
      <c r="D170" t="s">
        <v>38</v>
      </c>
      <c r="E170" t="s">
        <v>49</v>
      </c>
      <c r="F170" s="4">
        <v>461412.22</v>
      </c>
    </row>
    <row r="171" spans="1:6" hidden="1" x14ac:dyDescent="0.25">
      <c r="A171" t="s">
        <v>62</v>
      </c>
      <c r="B171" t="s">
        <v>48</v>
      </c>
      <c r="C171">
        <v>6010</v>
      </c>
      <c r="D171" t="s">
        <v>40</v>
      </c>
      <c r="E171" t="s">
        <v>49</v>
      </c>
      <c r="F171" s="4">
        <v>95221.66</v>
      </c>
    </row>
    <row r="172" spans="1:6" hidden="1" x14ac:dyDescent="0.25">
      <c r="A172" t="s">
        <v>62</v>
      </c>
      <c r="B172" t="s">
        <v>48</v>
      </c>
      <c r="C172">
        <v>6200</v>
      </c>
      <c r="D172" t="s">
        <v>41</v>
      </c>
      <c r="E172" t="s">
        <v>49</v>
      </c>
      <c r="F172" s="4">
        <v>10706.22</v>
      </c>
    </row>
    <row r="173" spans="1:6" hidden="1" x14ac:dyDescent="0.25">
      <c r="A173" t="s">
        <v>62</v>
      </c>
      <c r="B173" t="s">
        <v>48</v>
      </c>
      <c r="C173">
        <v>6300</v>
      </c>
      <c r="D173" t="s">
        <v>42</v>
      </c>
      <c r="E173" t="s">
        <v>49</v>
      </c>
      <c r="F173" s="4">
        <v>4006.27</v>
      </c>
    </row>
    <row r="174" spans="1:6" hidden="1" x14ac:dyDescent="0.25">
      <c r="A174" t="s">
        <v>62</v>
      </c>
      <c r="B174" t="s">
        <v>48</v>
      </c>
      <c r="C174">
        <v>6800</v>
      </c>
      <c r="D174" t="s">
        <v>43</v>
      </c>
      <c r="E174" t="s">
        <v>49</v>
      </c>
      <c r="F174" s="4">
        <v>7853.46</v>
      </c>
    </row>
    <row r="175" spans="1:6" hidden="1" x14ac:dyDescent="0.25">
      <c r="A175" t="s">
        <v>62</v>
      </c>
      <c r="B175" t="s">
        <v>50</v>
      </c>
      <c r="C175">
        <v>6000</v>
      </c>
      <c r="D175" t="s">
        <v>38</v>
      </c>
      <c r="E175" t="s">
        <v>34</v>
      </c>
      <c r="F175" s="4">
        <v>254970.78</v>
      </c>
    </row>
    <row r="176" spans="1:6" hidden="1" x14ac:dyDescent="0.25">
      <c r="A176" t="s">
        <v>62</v>
      </c>
      <c r="B176" t="s">
        <v>50</v>
      </c>
      <c r="C176">
        <v>6010</v>
      </c>
      <c r="D176" t="s">
        <v>40</v>
      </c>
      <c r="E176" t="s">
        <v>34</v>
      </c>
      <c r="F176" s="4">
        <v>52628.87</v>
      </c>
    </row>
    <row r="177" spans="1:6" hidden="1" x14ac:dyDescent="0.25">
      <c r="A177" t="s">
        <v>62</v>
      </c>
      <c r="B177" t="s">
        <v>50</v>
      </c>
      <c r="C177">
        <v>6200</v>
      </c>
      <c r="D177" t="s">
        <v>41</v>
      </c>
      <c r="E177" t="s">
        <v>34</v>
      </c>
      <c r="F177" s="4">
        <v>10647.53</v>
      </c>
    </row>
    <row r="178" spans="1:6" hidden="1" x14ac:dyDescent="0.25">
      <c r="A178" t="s">
        <v>62</v>
      </c>
      <c r="B178" t="s">
        <v>50</v>
      </c>
      <c r="C178">
        <v>6300</v>
      </c>
      <c r="D178" t="s">
        <v>42</v>
      </c>
      <c r="E178" t="s">
        <v>34</v>
      </c>
      <c r="F178" s="4">
        <v>3835.15</v>
      </c>
    </row>
    <row r="179" spans="1:6" hidden="1" x14ac:dyDescent="0.25">
      <c r="A179" t="s">
        <v>62</v>
      </c>
      <c r="B179" t="s">
        <v>50</v>
      </c>
      <c r="C179">
        <v>6800</v>
      </c>
      <c r="D179" t="s">
        <v>43</v>
      </c>
      <c r="E179" t="s">
        <v>34</v>
      </c>
      <c r="F179" s="4">
        <v>8540.7099999999991</v>
      </c>
    </row>
    <row r="180" spans="1:6" hidden="1" x14ac:dyDescent="0.25">
      <c r="A180" t="s">
        <v>62</v>
      </c>
      <c r="B180" t="s">
        <v>51</v>
      </c>
      <c r="C180">
        <v>6000</v>
      </c>
      <c r="D180" t="s">
        <v>38</v>
      </c>
      <c r="E180" t="s">
        <v>34</v>
      </c>
      <c r="F180" s="4">
        <v>303920.09999999998</v>
      </c>
    </row>
    <row r="181" spans="1:6" hidden="1" x14ac:dyDescent="0.25">
      <c r="A181" t="s">
        <v>62</v>
      </c>
      <c r="B181" t="s">
        <v>51</v>
      </c>
      <c r="C181">
        <v>6010</v>
      </c>
      <c r="D181" t="s">
        <v>40</v>
      </c>
      <c r="E181" t="s">
        <v>34</v>
      </c>
      <c r="F181" s="4">
        <v>63143.62</v>
      </c>
    </row>
    <row r="182" spans="1:6" hidden="1" x14ac:dyDescent="0.25">
      <c r="A182" t="s">
        <v>62</v>
      </c>
      <c r="B182" t="s">
        <v>51</v>
      </c>
      <c r="C182">
        <v>6200</v>
      </c>
      <c r="D182" t="s">
        <v>41</v>
      </c>
      <c r="E182" t="s">
        <v>34</v>
      </c>
      <c r="F182" s="4">
        <v>7606.55</v>
      </c>
    </row>
    <row r="183" spans="1:6" hidden="1" x14ac:dyDescent="0.25">
      <c r="A183" t="s">
        <v>62</v>
      </c>
      <c r="B183" t="s">
        <v>51</v>
      </c>
      <c r="C183">
        <v>6300</v>
      </c>
      <c r="D183" t="s">
        <v>42</v>
      </c>
      <c r="E183" t="s">
        <v>34</v>
      </c>
      <c r="F183" s="4">
        <v>17826.689999999999</v>
      </c>
    </row>
    <row r="184" spans="1:6" hidden="1" x14ac:dyDescent="0.25">
      <c r="A184" t="s">
        <v>62</v>
      </c>
      <c r="B184" t="s">
        <v>51</v>
      </c>
      <c r="C184">
        <v>6800</v>
      </c>
      <c r="D184" t="s">
        <v>43</v>
      </c>
      <c r="E184" t="s">
        <v>34</v>
      </c>
      <c r="F184" s="4">
        <v>12424.02</v>
      </c>
    </row>
    <row r="185" spans="1:6" hidden="1" x14ac:dyDescent="0.25">
      <c r="A185" t="s">
        <v>62</v>
      </c>
      <c r="B185" t="s">
        <v>37</v>
      </c>
      <c r="C185">
        <v>6020</v>
      </c>
      <c r="D185" t="s">
        <v>52</v>
      </c>
      <c r="E185" t="s">
        <v>39</v>
      </c>
      <c r="F185" s="4">
        <v>159464.45000000001</v>
      </c>
    </row>
    <row r="186" spans="1:6" hidden="1" x14ac:dyDescent="0.25">
      <c r="A186" t="s">
        <v>62</v>
      </c>
      <c r="B186" t="s">
        <v>46</v>
      </c>
      <c r="C186">
        <v>6100</v>
      </c>
      <c r="D186" t="s">
        <v>53</v>
      </c>
      <c r="E186" t="s">
        <v>47</v>
      </c>
      <c r="F186" s="4">
        <v>124749.97</v>
      </c>
    </row>
    <row r="187" spans="1:6" hidden="1" x14ac:dyDescent="0.25">
      <c r="A187" t="s">
        <v>62</v>
      </c>
      <c r="B187" t="s">
        <v>51</v>
      </c>
      <c r="C187">
        <v>6100</v>
      </c>
      <c r="D187" t="s">
        <v>53</v>
      </c>
      <c r="E187" t="s">
        <v>34</v>
      </c>
      <c r="F187" s="4">
        <v>50188.88</v>
      </c>
    </row>
    <row r="188" spans="1:6" hidden="1" x14ac:dyDescent="0.25">
      <c r="A188" t="s">
        <v>62</v>
      </c>
      <c r="B188" t="s">
        <v>44</v>
      </c>
      <c r="C188">
        <v>6400</v>
      </c>
      <c r="D188" t="s">
        <v>54</v>
      </c>
      <c r="E188" t="s">
        <v>39</v>
      </c>
      <c r="F188" s="4">
        <v>574611.88</v>
      </c>
    </row>
    <row r="189" spans="1:6" hidden="1" x14ac:dyDescent="0.25">
      <c r="A189" t="s">
        <v>62</v>
      </c>
      <c r="B189" t="s">
        <v>44</v>
      </c>
      <c r="C189">
        <v>6410</v>
      </c>
      <c r="D189" t="s">
        <v>55</v>
      </c>
      <c r="E189" t="s">
        <v>39</v>
      </c>
      <c r="F189" s="4">
        <v>54637.58</v>
      </c>
    </row>
    <row r="190" spans="1:6" hidden="1" x14ac:dyDescent="0.25">
      <c r="A190" t="s">
        <v>62</v>
      </c>
      <c r="B190" t="s">
        <v>48</v>
      </c>
      <c r="C190">
        <v>6500</v>
      </c>
      <c r="D190" t="s">
        <v>56</v>
      </c>
      <c r="E190" t="s">
        <v>49</v>
      </c>
      <c r="F190" s="4">
        <v>48216.32</v>
      </c>
    </row>
    <row r="191" spans="1:6" hidden="1" x14ac:dyDescent="0.25">
      <c r="A191" t="s">
        <v>62</v>
      </c>
      <c r="B191" t="s">
        <v>48</v>
      </c>
      <c r="C191">
        <v>6510</v>
      </c>
      <c r="D191" t="s">
        <v>57</v>
      </c>
      <c r="E191" t="s">
        <v>49</v>
      </c>
      <c r="F191" s="4">
        <v>31464.76</v>
      </c>
    </row>
    <row r="192" spans="1:6" hidden="1" x14ac:dyDescent="0.25">
      <c r="A192" t="s">
        <v>62</v>
      </c>
      <c r="B192" t="s">
        <v>48</v>
      </c>
      <c r="C192">
        <v>6600</v>
      </c>
      <c r="D192" t="s">
        <v>58</v>
      </c>
      <c r="E192" t="s">
        <v>49</v>
      </c>
      <c r="F192" s="4">
        <v>312000</v>
      </c>
    </row>
    <row r="193" spans="1:6" hidden="1" x14ac:dyDescent="0.25">
      <c r="A193" t="s">
        <v>62</v>
      </c>
      <c r="B193" t="s">
        <v>48</v>
      </c>
      <c r="C193">
        <v>6700</v>
      </c>
      <c r="D193" t="s">
        <v>59</v>
      </c>
      <c r="E193" t="s">
        <v>49</v>
      </c>
      <c r="F193" s="4">
        <v>144000</v>
      </c>
    </row>
    <row r="194" spans="1:6" hidden="1" x14ac:dyDescent="0.25">
      <c r="A194" t="s">
        <v>63</v>
      </c>
      <c r="B194" t="s">
        <v>31</v>
      </c>
      <c r="C194">
        <v>4000</v>
      </c>
      <c r="D194" t="s">
        <v>32</v>
      </c>
      <c r="E194" t="s">
        <v>31</v>
      </c>
      <c r="F194" s="4">
        <v>9466208.8000000007</v>
      </c>
    </row>
    <row r="195" spans="1:6" x14ac:dyDescent="0.25">
      <c r="A195" t="s">
        <v>63</v>
      </c>
      <c r="B195" t="s">
        <v>31</v>
      </c>
      <c r="C195">
        <v>4100</v>
      </c>
      <c r="D195" t="s">
        <v>33</v>
      </c>
      <c r="E195" t="s">
        <v>31</v>
      </c>
      <c r="F195" s="4">
        <v>744800</v>
      </c>
    </row>
    <row r="196" spans="1:6" hidden="1" x14ac:dyDescent="0.25">
      <c r="A196" t="s">
        <v>63</v>
      </c>
      <c r="B196" t="s">
        <v>34</v>
      </c>
      <c r="C196">
        <v>5000</v>
      </c>
      <c r="D196" t="s">
        <v>35</v>
      </c>
      <c r="E196" t="s">
        <v>34</v>
      </c>
      <c r="F196" s="4">
        <v>949116.72</v>
      </c>
    </row>
    <row r="197" spans="1:6" hidden="1" x14ac:dyDescent="0.25">
      <c r="A197" t="s">
        <v>63</v>
      </c>
      <c r="B197" t="s">
        <v>34</v>
      </c>
      <c r="C197">
        <v>5300</v>
      </c>
      <c r="D197" t="s">
        <v>36</v>
      </c>
      <c r="E197" t="s">
        <v>34</v>
      </c>
      <c r="F197" s="4">
        <v>172376.14</v>
      </c>
    </row>
    <row r="198" spans="1:6" hidden="1" x14ac:dyDescent="0.25">
      <c r="A198" t="s">
        <v>63</v>
      </c>
      <c r="B198" t="s">
        <v>37</v>
      </c>
      <c r="C198">
        <v>6000</v>
      </c>
      <c r="D198" t="s">
        <v>38</v>
      </c>
      <c r="E198" t="s">
        <v>39</v>
      </c>
      <c r="F198" s="4">
        <v>818894.76</v>
      </c>
    </row>
    <row r="199" spans="1:6" hidden="1" x14ac:dyDescent="0.25">
      <c r="A199" t="s">
        <v>63</v>
      </c>
      <c r="B199" t="s">
        <v>37</v>
      </c>
      <c r="C199">
        <v>6010</v>
      </c>
      <c r="D199" t="s">
        <v>40</v>
      </c>
      <c r="E199" t="s">
        <v>39</v>
      </c>
      <c r="F199" s="4">
        <v>164681.74</v>
      </c>
    </row>
    <row r="200" spans="1:6" hidden="1" x14ac:dyDescent="0.25">
      <c r="A200" t="s">
        <v>63</v>
      </c>
      <c r="B200" t="s">
        <v>37</v>
      </c>
      <c r="C200">
        <v>6200</v>
      </c>
      <c r="D200" t="s">
        <v>41</v>
      </c>
      <c r="E200" t="s">
        <v>39</v>
      </c>
      <c r="F200" s="4">
        <v>26874.83</v>
      </c>
    </row>
    <row r="201" spans="1:6" hidden="1" x14ac:dyDescent="0.25">
      <c r="A201" t="s">
        <v>63</v>
      </c>
      <c r="B201" t="s">
        <v>37</v>
      </c>
      <c r="C201">
        <v>6300</v>
      </c>
      <c r="D201" t="s">
        <v>42</v>
      </c>
      <c r="E201" t="s">
        <v>39</v>
      </c>
      <c r="F201" s="4">
        <v>58159.6</v>
      </c>
    </row>
    <row r="202" spans="1:6" hidden="1" x14ac:dyDescent="0.25">
      <c r="A202" t="s">
        <v>63</v>
      </c>
      <c r="B202" t="s">
        <v>37</v>
      </c>
      <c r="C202">
        <v>6800</v>
      </c>
      <c r="D202" t="s">
        <v>43</v>
      </c>
      <c r="E202" t="s">
        <v>39</v>
      </c>
      <c r="F202" s="4">
        <v>22569.5</v>
      </c>
    </row>
    <row r="203" spans="1:6" hidden="1" x14ac:dyDescent="0.25">
      <c r="A203" t="s">
        <v>63</v>
      </c>
      <c r="B203" t="s">
        <v>44</v>
      </c>
      <c r="C203">
        <v>6000</v>
      </c>
      <c r="D203" t="s">
        <v>38</v>
      </c>
      <c r="E203" t="s">
        <v>39</v>
      </c>
      <c r="F203" s="4">
        <v>280255.74</v>
      </c>
    </row>
    <row r="204" spans="1:6" hidden="1" x14ac:dyDescent="0.25">
      <c r="A204" t="s">
        <v>63</v>
      </c>
      <c r="B204" t="s">
        <v>44</v>
      </c>
      <c r="C204">
        <v>6010</v>
      </c>
      <c r="D204" t="s">
        <v>40</v>
      </c>
      <c r="E204" t="s">
        <v>39</v>
      </c>
      <c r="F204" s="4">
        <v>57915.56</v>
      </c>
    </row>
    <row r="205" spans="1:6" hidden="1" x14ac:dyDescent="0.25">
      <c r="A205" t="s">
        <v>63</v>
      </c>
      <c r="B205" t="s">
        <v>44</v>
      </c>
      <c r="C205">
        <v>6200</v>
      </c>
      <c r="D205" t="s">
        <v>41</v>
      </c>
      <c r="E205" t="s">
        <v>39</v>
      </c>
      <c r="F205" s="4">
        <v>8506.83</v>
      </c>
    </row>
    <row r="206" spans="1:6" hidden="1" x14ac:dyDescent="0.25">
      <c r="A206" t="s">
        <v>63</v>
      </c>
      <c r="B206" t="s">
        <v>44</v>
      </c>
      <c r="C206">
        <v>6300</v>
      </c>
      <c r="D206" t="s">
        <v>42</v>
      </c>
      <c r="E206" t="s">
        <v>39</v>
      </c>
      <c r="F206" s="4">
        <v>7968.89</v>
      </c>
    </row>
    <row r="207" spans="1:6" hidden="1" x14ac:dyDescent="0.25">
      <c r="A207" t="s">
        <v>63</v>
      </c>
      <c r="B207" t="s">
        <v>44</v>
      </c>
      <c r="C207">
        <v>6800</v>
      </c>
      <c r="D207" t="s">
        <v>43</v>
      </c>
      <c r="E207" t="s">
        <v>39</v>
      </c>
      <c r="F207" s="4">
        <v>3632.82</v>
      </c>
    </row>
    <row r="208" spans="1:6" hidden="1" x14ac:dyDescent="0.25">
      <c r="A208" t="s">
        <v>63</v>
      </c>
      <c r="B208" t="s">
        <v>45</v>
      </c>
      <c r="C208">
        <v>6000</v>
      </c>
      <c r="D208" t="s">
        <v>38</v>
      </c>
      <c r="E208" t="s">
        <v>39</v>
      </c>
      <c r="F208" s="4">
        <v>303652.96999999997</v>
      </c>
    </row>
    <row r="209" spans="1:6" hidden="1" x14ac:dyDescent="0.25">
      <c r="A209" t="s">
        <v>63</v>
      </c>
      <c r="B209" t="s">
        <v>45</v>
      </c>
      <c r="C209">
        <v>6010</v>
      </c>
      <c r="D209" t="s">
        <v>40</v>
      </c>
      <c r="E209" t="s">
        <v>39</v>
      </c>
      <c r="F209" s="4">
        <v>62585.71</v>
      </c>
    </row>
    <row r="210" spans="1:6" hidden="1" x14ac:dyDescent="0.25">
      <c r="A210" t="s">
        <v>63</v>
      </c>
      <c r="B210" t="s">
        <v>45</v>
      </c>
      <c r="C210">
        <v>6200</v>
      </c>
      <c r="D210" t="s">
        <v>41</v>
      </c>
      <c r="E210" t="s">
        <v>39</v>
      </c>
      <c r="F210" s="4">
        <v>10530.36</v>
      </c>
    </row>
    <row r="211" spans="1:6" hidden="1" x14ac:dyDescent="0.25">
      <c r="A211" t="s">
        <v>63</v>
      </c>
      <c r="B211" t="s">
        <v>45</v>
      </c>
      <c r="C211">
        <v>6300</v>
      </c>
      <c r="D211" t="s">
        <v>42</v>
      </c>
      <c r="E211" t="s">
        <v>39</v>
      </c>
      <c r="F211" s="4">
        <v>10196.14</v>
      </c>
    </row>
    <row r="212" spans="1:6" hidden="1" x14ac:dyDescent="0.25">
      <c r="A212" t="s">
        <v>63</v>
      </c>
      <c r="B212" t="s">
        <v>45</v>
      </c>
      <c r="C212">
        <v>6800</v>
      </c>
      <c r="D212" t="s">
        <v>43</v>
      </c>
      <c r="E212" t="s">
        <v>39</v>
      </c>
      <c r="F212" s="4">
        <v>4171.8900000000003</v>
      </c>
    </row>
    <row r="213" spans="1:6" hidden="1" x14ac:dyDescent="0.25">
      <c r="A213" t="s">
        <v>63</v>
      </c>
      <c r="B213" t="s">
        <v>46</v>
      </c>
      <c r="C213">
        <v>6000</v>
      </c>
      <c r="D213" t="s">
        <v>38</v>
      </c>
      <c r="E213" t="s">
        <v>47</v>
      </c>
      <c r="F213" s="4">
        <v>2122665.59</v>
      </c>
    </row>
    <row r="214" spans="1:6" hidden="1" x14ac:dyDescent="0.25">
      <c r="A214" t="s">
        <v>63</v>
      </c>
      <c r="B214" t="s">
        <v>46</v>
      </c>
      <c r="C214">
        <v>6010</v>
      </c>
      <c r="D214" t="s">
        <v>40</v>
      </c>
      <c r="E214" t="s">
        <v>47</v>
      </c>
      <c r="F214" s="4">
        <v>443674.84</v>
      </c>
    </row>
    <row r="215" spans="1:6" hidden="1" x14ac:dyDescent="0.25">
      <c r="A215" t="s">
        <v>63</v>
      </c>
      <c r="B215" t="s">
        <v>46</v>
      </c>
      <c r="C215">
        <v>6200</v>
      </c>
      <c r="D215" t="s">
        <v>41</v>
      </c>
      <c r="E215" t="s">
        <v>47</v>
      </c>
      <c r="F215" s="4">
        <v>39373.06</v>
      </c>
    </row>
    <row r="216" spans="1:6" hidden="1" x14ac:dyDescent="0.25">
      <c r="A216" t="s">
        <v>63</v>
      </c>
      <c r="B216" t="s">
        <v>46</v>
      </c>
      <c r="C216">
        <v>6300</v>
      </c>
      <c r="D216" t="s">
        <v>42</v>
      </c>
      <c r="E216" t="s">
        <v>47</v>
      </c>
      <c r="F216" s="4">
        <v>11816.6</v>
      </c>
    </row>
    <row r="217" spans="1:6" hidden="1" x14ac:dyDescent="0.25">
      <c r="A217" t="s">
        <v>63</v>
      </c>
      <c r="B217" t="s">
        <v>46</v>
      </c>
      <c r="C217">
        <v>6800</v>
      </c>
      <c r="D217" t="s">
        <v>43</v>
      </c>
      <c r="E217" t="s">
        <v>47</v>
      </c>
      <c r="F217" s="4">
        <v>12950.16</v>
      </c>
    </row>
    <row r="218" spans="1:6" hidden="1" x14ac:dyDescent="0.25">
      <c r="A218" t="s">
        <v>63</v>
      </c>
      <c r="B218" t="s">
        <v>48</v>
      </c>
      <c r="C218">
        <v>6000</v>
      </c>
      <c r="D218" t="s">
        <v>38</v>
      </c>
      <c r="E218" t="s">
        <v>49</v>
      </c>
      <c r="F218" s="4">
        <v>463546.05</v>
      </c>
    </row>
    <row r="219" spans="1:6" hidden="1" x14ac:dyDescent="0.25">
      <c r="A219" t="s">
        <v>63</v>
      </c>
      <c r="B219" t="s">
        <v>48</v>
      </c>
      <c r="C219">
        <v>6010</v>
      </c>
      <c r="D219" t="s">
        <v>40</v>
      </c>
      <c r="E219" t="s">
        <v>49</v>
      </c>
      <c r="F219" s="4">
        <v>97155.62</v>
      </c>
    </row>
    <row r="220" spans="1:6" hidden="1" x14ac:dyDescent="0.25">
      <c r="A220" t="s">
        <v>63</v>
      </c>
      <c r="B220" t="s">
        <v>48</v>
      </c>
      <c r="C220">
        <v>6200</v>
      </c>
      <c r="D220" t="s">
        <v>41</v>
      </c>
      <c r="E220" t="s">
        <v>49</v>
      </c>
      <c r="F220" s="4">
        <v>12448.1</v>
      </c>
    </row>
    <row r="221" spans="1:6" hidden="1" x14ac:dyDescent="0.25">
      <c r="A221" t="s">
        <v>63</v>
      </c>
      <c r="B221" t="s">
        <v>48</v>
      </c>
      <c r="C221">
        <v>6300</v>
      </c>
      <c r="D221" t="s">
        <v>42</v>
      </c>
      <c r="E221" t="s">
        <v>49</v>
      </c>
      <c r="F221" s="4">
        <v>4046.92</v>
      </c>
    </row>
    <row r="222" spans="1:6" hidden="1" x14ac:dyDescent="0.25">
      <c r="A222" t="s">
        <v>63</v>
      </c>
      <c r="B222" t="s">
        <v>48</v>
      </c>
      <c r="C222">
        <v>6800</v>
      </c>
      <c r="D222" t="s">
        <v>43</v>
      </c>
      <c r="E222" t="s">
        <v>49</v>
      </c>
      <c r="F222" s="4">
        <v>13796.45</v>
      </c>
    </row>
    <row r="223" spans="1:6" hidden="1" x14ac:dyDescent="0.25">
      <c r="A223" t="s">
        <v>63</v>
      </c>
      <c r="B223" t="s">
        <v>50</v>
      </c>
      <c r="C223">
        <v>6000</v>
      </c>
      <c r="D223" t="s">
        <v>38</v>
      </c>
      <c r="E223" t="s">
        <v>34</v>
      </c>
      <c r="F223" s="4">
        <v>254966.15</v>
      </c>
    </row>
    <row r="224" spans="1:6" hidden="1" x14ac:dyDescent="0.25">
      <c r="A224" t="s">
        <v>63</v>
      </c>
      <c r="B224" t="s">
        <v>50</v>
      </c>
      <c r="C224">
        <v>6010</v>
      </c>
      <c r="D224" t="s">
        <v>40</v>
      </c>
      <c r="E224" t="s">
        <v>34</v>
      </c>
      <c r="F224" s="4">
        <v>52598.92</v>
      </c>
    </row>
    <row r="225" spans="1:6" hidden="1" x14ac:dyDescent="0.25">
      <c r="A225" t="s">
        <v>63</v>
      </c>
      <c r="B225" t="s">
        <v>50</v>
      </c>
      <c r="C225">
        <v>6200</v>
      </c>
      <c r="D225" t="s">
        <v>41</v>
      </c>
      <c r="E225" t="s">
        <v>34</v>
      </c>
      <c r="F225" s="4">
        <v>11129.58</v>
      </c>
    </row>
    <row r="226" spans="1:6" hidden="1" x14ac:dyDescent="0.25">
      <c r="A226" t="s">
        <v>63</v>
      </c>
      <c r="B226" t="s">
        <v>50</v>
      </c>
      <c r="C226">
        <v>6300</v>
      </c>
      <c r="D226" t="s">
        <v>42</v>
      </c>
      <c r="E226" t="s">
        <v>34</v>
      </c>
      <c r="F226" s="4">
        <v>3966.73</v>
      </c>
    </row>
    <row r="227" spans="1:6" hidden="1" x14ac:dyDescent="0.25">
      <c r="A227" t="s">
        <v>63</v>
      </c>
      <c r="B227" t="s">
        <v>50</v>
      </c>
      <c r="C227">
        <v>6800</v>
      </c>
      <c r="D227" t="s">
        <v>43</v>
      </c>
      <c r="E227" t="s">
        <v>34</v>
      </c>
      <c r="F227" s="4">
        <v>8102.91</v>
      </c>
    </row>
    <row r="228" spans="1:6" hidden="1" x14ac:dyDescent="0.25">
      <c r="A228" t="s">
        <v>63</v>
      </c>
      <c r="B228" t="s">
        <v>51</v>
      </c>
      <c r="C228">
        <v>6000</v>
      </c>
      <c r="D228" t="s">
        <v>38</v>
      </c>
      <c r="E228" t="s">
        <v>34</v>
      </c>
      <c r="F228" s="4">
        <v>312321.52</v>
      </c>
    </row>
    <row r="229" spans="1:6" hidden="1" x14ac:dyDescent="0.25">
      <c r="A229" t="s">
        <v>63</v>
      </c>
      <c r="B229" t="s">
        <v>51</v>
      </c>
      <c r="C229">
        <v>6010</v>
      </c>
      <c r="D229" t="s">
        <v>40</v>
      </c>
      <c r="E229" t="s">
        <v>34</v>
      </c>
      <c r="F229" s="4">
        <v>61413.120000000003</v>
      </c>
    </row>
    <row r="230" spans="1:6" hidden="1" x14ac:dyDescent="0.25">
      <c r="A230" t="s">
        <v>63</v>
      </c>
      <c r="B230" t="s">
        <v>51</v>
      </c>
      <c r="C230">
        <v>6200</v>
      </c>
      <c r="D230" t="s">
        <v>41</v>
      </c>
      <c r="E230" t="s">
        <v>34</v>
      </c>
      <c r="F230" s="4">
        <v>7479.24</v>
      </c>
    </row>
    <row r="231" spans="1:6" hidden="1" x14ac:dyDescent="0.25">
      <c r="A231" t="s">
        <v>63</v>
      </c>
      <c r="B231" t="s">
        <v>51</v>
      </c>
      <c r="C231">
        <v>6300</v>
      </c>
      <c r="D231" t="s">
        <v>42</v>
      </c>
      <c r="E231" t="s">
        <v>34</v>
      </c>
      <c r="F231" s="4">
        <v>16596.61</v>
      </c>
    </row>
    <row r="232" spans="1:6" hidden="1" x14ac:dyDescent="0.25">
      <c r="A232" t="s">
        <v>63</v>
      </c>
      <c r="B232" t="s">
        <v>51</v>
      </c>
      <c r="C232">
        <v>6800</v>
      </c>
      <c r="D232" t="s">
        <v>43</v>
      </c>
      <c r="E232" t="s">
        <v>34</v>
      </c>
      <c r="F232" s="4">
        <v>3894.74</v>
      </c>
    </row>
    <row r="233" spans="1:6" hidden="1" x14ac:dyDescent="0.25">
      <c r="A233" t="s">
        <v>63</v>
      </c>
      <c r="B233" t="s">
        <v>37</v>
      </c>
      <c r="C233">
        <v>6020</v>
      </c>
      <c r="D233" t="s">
        <v>52</v>
      </c>
      <c r="E233" t="s">
        <v>39</v>
      </c>
      <c r="F233" s="4">
        <v>198633.60000000001</v>
      </c>
    </row>
    <row r="234" spans="1:6" hidden="1" x14ac:dyDescent="0.25">
      <c r="A234" t="s">
        <v>63</v>
      </c>
      <c r="B234" t="s">
        <v>46</v>
      </c>
      <c r="C234">
        <v>6100</v>
      </c>
      <c r="D234" t="s">
        <v>53</v>
      </c>
      <c r="E234" t="s">
        <v>47</v>
      </c>
      <c r="F234" s="4">
        <v>127318.62</v>
      </c>
    </row>
    <row r="235" spans="1:6" hidden="1" x14ac:dyDescent="0.25">
      <c r="A235" t="s">
        <v>63</v>
      </c>
      <c r="B235" t="s">
        <v>51</v>
      </c>
      <c r="C235">
        <v>6100</v>
      </c>
      <c r="D235" t="s">
        <v>53</v>
      </c>
      <c r="E235" t="s">
        <v>34</v>
      </c>
      <c r="F235" s="4">
        <v>58442.66</v>
      </c>
    </row>
    <row r="236" spans="1:6" hidden="1" x14ac:dyDescent="0.25">
      <c r="A236" t="s">
        <v>63</v>
      </c>
      <c r="B236" t="s">
        <v>44</v>
      </c>
      <c r="C236">
        <v>6400</v>
      </c>
      <c r="D236" t="s">
        <v>54</v>
      </c>
      <c r="E236" t="s">
        <v>39</v>
      </c>
      <c r="F236" s="4">
        <v>541648.85</v>
      </c>
    </row>
    <row r="237" spans="1:6" hidden="1" x14ac:dyDescent="0.25">
      <c r="A237" t="s">
        <v>63</v>
      </c>
      <c r="B237" t="s">
        <v>44</v>
      </c>
      <c r="C237">
        <v>6410</v>
      </c>
      <c r="D237" t="s">
        <v>55</v>
      </c>
      <c r="E237" t="s">
        <v>39</v>
      </c>
      <c r="F237" s="4">
        <v>186500</v>
      </c>
    </row>
    <row r="238" spans="1:6" hidden="1" x14ac:dyDescent="0.25">
      <c r="A238" t="s">
        <v>63</v>
      </c>
      <c r="B238" t="s">
        <v>48</v>
      </c>
      <c r="C238">
        <v>6500</v>
      </c>
      <c r="D238" t="s">
        <v>56</v>
      </c>
      <c r="E238" t="s">
        <v>49</v>
      </c>
      <c r="F238" s="4">
        <v>37365.47</v>
      </c>
    </row>
    <row r="239" spans="1:6" hidden="1" x14ac:dyDescent="0.25">
      <c r="A239" t="s">
        <v>63</v>
      </c>
      <c r="B239" t="s">
        <v>48</v>
      </c>
      <c r="C239">
        <v>6510</v>
      </c>
      <c r="D239" t="s">
        <v>57</v>
      </c>
      <c r="E239" t="s">
        <v>49</v>
      </c>
      <c r="F239" s="4">
        <v>31774.54</v>
      </c>
    </row>
    <row r="240" spans="1:6" hidden="1" x14ac:dyDescent="0.25">
      <c r="A240" t="s">
        <v>63</v>
      </c>
      <c r="B240" t="s">
        <v>48</v>
      </c>
      <c r="C240">
        <v>6600</v>
      </c>
      <c r="D240" t="s">
        <v>58</v>
      </c>
      <c r="E240" t="s">
        <v>49</v>
      </c>
      <c r="F240" s="4">
        <v>312000</v>
      </c>
    </row>
    <row r="241" spans="1:6" hidden="1" x14ac:dyDescent="0.25">
      <c r="A241" t="s">
        <v>63</v>
      </c>
      <c r="B241" t="s">
        <v>48</v>
      </c>
      <c r="C241">
        <v>6700</v>
      </c>
      <c r="D241" t="s">
        <v>59</v>
      </c>
      <c r="E241" t="s">
        <v>49</v>
      </c>
      <c r="F241" s="4">
        <v>145500</v>
      </c>
    </row>
    <row r="242" spans="1:6" hidden="1" x14ac:dyDescent="0.25">
      <c r="A242" t="s">
        <v>64</v>
      </c>
      <c r="B242" t="s">
        <v>31</v>
      </c>
      <c r="C242">
        <v>4000</v>
      </c>
      <c r="D242" t="s">
        <v>32</v>
      </c>
      <c r="E242" t="s">
        <v>31</v>
      </c>
      <c r="F242" s="4">
        <v>9630703.1999999993</v>
      </c>
    </row>
    <row r="243" spans="1:6" x14ac:dyDescent="0.25">
      <c r="A243" t="s">
        <v>64</v>
      </c>
      <c r="B243" t="s">
        <v>31</v>
      </c>
      <c r="C243">
        <v>4100</v>
      </c>
      <c r="D243" t="s">
        <v>33</v>
      </c>
      <c r="E243" t="s">
        <v>31</v>
      </c>
      <c r="F243" s="4">
        <v>744000</v>
      </c>
    </row>
    <row r="244" spans="1:6" hidden="1" x14ac:dyDescent="0.25">
      <c r="A244" t="s">
        <v>64</v>
      </c>
      <c r="B244" t="s">
        <v>34</v>
      </c>
      <c r="C244">
        <v>5000</v>
      </c>
      <c r="D244" t="s">
        <v>35</v>
      </c>
      <c r="E244" t="s">
        <v>34</v>
      </c>
      <c r="F244" s="4">
        <v>970574.8</v>
      </c>
    </row>
    <row r="245" spans="1:6" hidden="1" x14ac:dyDescent="0.25">
      <c r="A245" t="s">
        <v>64</v>
      </c>
      <c r="B245" t="s">
        <v>34</v>
      </c>
      <c r="C245">
        <v>5300</v>
      </c>
      <c r="D245" t="s">
        <v>36</v>
      </c>
      <c r="E245" t="s">
        <v>34</v>
      </c>
      <c r="F245" s="4">
        <v>173459.47</v>
      </c>
    </row>
    <row r="246" spans="1:6" hidden="1" x14ac:dyDescent="0.25">
      <c r="A246" t="s">
        <v>64</v>
      </c>
      <c r="B246" t="s">
        <v>37</v>
      </c>
      <c r="C246">
        <v>6000</v>
      </c>
      <c r="D246" t="s">
        <v>38</v>
      </c>
      <c r="E246" t="s">
        <v>39</v>
      </c>
      <c r="F246" s="4">
        <v>844261.62</v>
      </c>
    </row>
    <row r="247" spans="1:6" hidden="1" x14ac:dyDescent="0.25">
      <c r="A247" t="s">
        <v>64</v>
      </c>
      <c r="B247" t="s">
        <v>37</v>
      </c>
      <c r="C247">
        <v>6010</v>
      </c>
      <c r="D247" t="s">
        <v>40</v>
      </c>
      <c r="E247" t="s">
        <v>39</v>
      </c>
      <c r="F247" s="4">
        <v>177663.88</v>
      </c>
    </row>
    <row r="248" spans="1:6" hidden="1" x14ac:dyDescent="0.25">
      <c r="A248" t="s">
        <v>64</v>
      </c>
      <c r="B248" t="s">
        <v>37</v>
      </c>
      <c r="C248">
        <v>6200</v>
      </c>
      <c r="D248" t="s">
        <v>41</v>
      </c>
      <c r="E248" t="s">
        <v>39</v>
      </c>
      <c r="F248" s="4">
        <v>27524.38</v>
      </c>
    </row>
    <row r="249" spans="1:6" hidden="1" x14ac:dyDescent="0.25">
      <c r="A249" t="s">
        <v>64</v>
      </c>
      <c r="B249" t="s">
        <v>37</v>
      </c>
      <c r="C249">
        <v>6300</v>
      </c>
      <c r="D249" t="s">
        <v>42</v>
      </c>
      <c r="E249" t="s">
        <v>39</v>
      </c>
      <c r="F249" s="4">
        <v>65996.649999999994</v>
      </c>
    </row>
    <row r="250" spans="1:6" hidden="1" x14ac:dyDescent="0.25">
      <c r="A250" t="s">
        <v>64</v>
      </c>
      <c r="B250" t="s">
        <v>37</v>
      </c>
      <c r="C250">
        <v>6800</v>
      </c>
      <c r="D250" t="s">
        <v>43</v>
      </c>
      <c r="E250" t="s">
        <v>39</v>
      </c>
      <c r="F250" s="4">
        <v>20818.009999999998</v>
      </c>
    </row>
    <row r="251" spans="1:6" hidden="1" x14ac:dyDescent="0.25">
      <c r="A251" t="s">
        <v>64</v>
      </c>
      <c r="B251" t="s">
        <v>44</v>
      </c>
      <c r="C251">
        <v>6000</v>
      </c>
      <c r="D251" t="s">
        <v>38</v>
      </c>
      <c r="E251" t="s">
        <v>39</v>
      </c>
      <c r="F251" s="4">
        <v>273501.71000000002</v>
      </c>
    </row>
    <row r="252" spans="1:6" hidden="1" x14ac:dyDescent="0.25">
      <c r="A252" t="s">
        <v>64</v>
      </c>
      <c r="B252" t="s">
        <v>44</v>
      </c>
      <c r="C252">
        <v>6010</v>
      </c>
      <c r="D252" t="s">
        <v>40</v>
      </c>
      <c r="E252" t="s">
        <v>39</v>
      </c>
      <c r="F252" s="4">
        <v>55806.79</v>
      </c>
    </row>
    <row r="253" spans="1:6" hidden="1" x14ac:dyDescent="0.25">
      <c r="A253" t="s">
        <v>64</v>
      </c>
      <c r="B253" t="s">
        <v>44</v>
      </c>
      <c r="C253">
        <v>6200</v>
      </c>
      <c r="D253" t="s">
        <v>41</v>
      </c>
      <c r="E253" t="s">
        <v>39</v>
      </c>
      <c r="F253" s="4">
        <v>7352.83</v>
      </c>
    </row>
    <row r="254" spans="1:6" hidden="1" x14ac:dyDescent="0.25">
      <c r="A254" t="s">
        <v>64</v>
      </c>
      <c r="B254" t="s">
        <v>44</v>
      </c>
      <c r="C254">
        <v>6300</v>
      </c>
      <c r="D254" t="s">
        <v>42</v>
      </c>
      <c r="E254" t="s">
        <v>39</v>
      </c>
      <c r="F254" s="4">
        <v>8181</v>
      </c>
    </row>
    <row r="255" spans="1:6" hidden="1" x14ac:dyDescent="0.25">
      <c r="A255" t="s">
        <v>64</v>
      </c>
      <c r="B255" t="s">
        <v>44</v>
      </c>
      <c r="C255">
        <v>6800</v>
      </c>
      <c r="D255" t="s">
        <v>43</v>
      </c>
      <c r="E255" t="s">
        <v>39</v>
      </c>
      <c r="F255" s="4">
        <v>4201.8500000000004</v>
      </c>
    </row>
    <row r="256" spans="1:6" hidden="1" x14ac:dyDescent="0.25">
      <c r="A256" t="s">
        <v>64</v>
      </c>
      <c r="B256" t="s">
        <v>45</v>
      </c>
      <c r="C256">
        <v>6000</v>
      </c>
      <c r="D256" t="s">
        <v>38</v>
      </c>
      <c r="E256" t="s">
        <v>39</v>
      </c>
      <c r="F256" s="4">
        <v>301790.34000000003</v>
      </c>
    </row>
    <row r="257" spans="1:6" hidden="1" x14ac:dyDescent="0.25">
      <c r="A257" t="s">
        <v>64</v>
      </c>
      <c r="B257" t="s">
        <v>45</v>
      </c>
      <c r="C257">
        <v>6010</v>
      </c>
      <c r="D257" t="s">
        <v>40</v>
      </c>
      <c r="E257" t="s">
        <v>39</v>
      </c>
      <c r="F257" s="4">
        <v>63414.5</v>
      </c>
    </row>
    <row r="258" spans="1:6" hidden="1" x14ac:dyDescent="0.25">
      <c r="A258" t="s">
        <v>64</v>
      </c>
      <c r="B258" t="s">
        <v>45</v>
      </c>
      <c r="C258">
        <v>6200</v>
      </c>
      <c r="D258" t="s">
        <v>41</v>
      </c>
      <c r="E258" t="s">
        <v>39</v>
      </c>
      <c r="F258" s="4">
        <v>10210.129999999999</v>
      </c>
    </row>
    <row r="259" spans="1:6" hidden="1" x14ac:dyDescent="0.25">
      <c r="A259" t="s">
        <v>64</v>
      </c>
      <c r="B259" t="s">
        <v>45</v>
      </c>
      <c r="C259">
        <v>6300</v>
      </c>
      <c r="D259" t="s">
        <v>42</v>
      </c>
      <c r="E259" t="s">
        <v>39</v>
      </c>
      <c r="F259" s="4">
        <v>8125.96</v>
      </c>
    </row>
    <row r="260" spans="1:6" hidden="1" x14ac:dyDescent="0.25">
      <c r="A260" t="s">
        <v>64</v>
      </c>
      <c r="B260" t="s">
        <v>45</v>
      </c>
      <c r="C260">
        <v>6800</v>
      </c>
      <c r="D260" t="s">
        <v>43</v>
      </c>
      <c r="E260" t="s">
        <v>39</v>
      </c>
      <c r="F260" s="4">
        <v>9237.19</v>
      </c>
    </row>
    <row r="261" spans="1:6" hidden="1" x14ac:dyDescent="0.25">
      <c r="A261" t="s">
        <v>64</v>
      </c>
      <c r="B261" t="s">
        <v>46</v>
      </c>
      <c r="C261">
        <v>6000</v>
      </c>
      <c r="D261" t="s">
        <v>38</v>
      </c>
      <c r="E261" t="s">
        <v>47</v>
      </c>
      <c r="F261" s="4">
        <v>2124277.38</v>
      </c>
    </row>
    <row r="262" spans="1:6" hidden="1" x14ac:dyDescent="0.25">
      <c r="A262" t="s">
        <v>64</v>
      </c>
      <c r="B262" t="s">
        <v>46</v>
      </c>
      <c r="C262">
        <v>6010</v>
      </c>
      <c r="D262" t="s">
        <v>40</v>
      </c>
      <c r="E262" t="s">
        <v>47</v>
      </c>
      <c r="F262" s="4">
        <v>424955.87</v>
      </c>
    </row>
    <row r="263" spans="1:6" hidden="1" x14ac:dyDescent="0.25">
      <c r="A263" t="s">
        <v>64</v>
      </c>
      <c r="B263" t="s">
        <v>46</v>
      </c>
      <c r="C263">
        <v>6200</v>
      </c>
      <c r="D263" t="s">
        <v>41</v>
      </c>
      <c r="E263" t="s">
        <v>47</v>
      </c>
      <c r="F263" s="4">
        <v>39161.18</v>
      </c>
    </row>
    <row r="264" spans="1:6" hidden="1" x14ac:dyDescent="0.25">
      <c r="A264" t="s">
        <v>64</v>
      </c>
      <c r="B264" t="s">
        <v>46</v>
      </c>
      <c r="C264">
        <v>6300</v>
      </c>
      <c r="D264" t="s">
        <v>42</v>
      </c>
      <c r="E264" t="s">
        <v>47</v>
      </c>
      <c r="F264" s="4">
        <v>13710.18</v>
      </c>
    </row>
    <row r="265" spans="1:6" hidden="1" x14ac:dyDescent="0.25">
      <c r="A265" t="s">
        <v>64</v>
      </c>
      <c r="B265" t="s">
        <v>46</v>
      </c>
      <c r="C265">
        <v>6800</v>
      </c>
      <c r="D265" t="s">
        <v>43</v>
      </c>
      <c r="E265" t="s">
        <v>47</v>
      </c>
      <c r="F265" s="4">
        <v>22591.94</v>
      </c>
    </row>
    <row r="266" spans="1:6" hidden="1" x14ac:dyDescent="0.25">
      <c r="A266" t="s">
        <v>64</v>
      </c>
      <c r="B266" t="s">
        <v>48</v>
      </c>
      <c r="C266">
        <v>6000</v>
      </c>
      <c r="D266" t="s">
        <v>38</v>
      </c>
      <c r="E266" t="s">
        <v>49</v>
      </c>
      <c r="F266" s="4">
        <v>478545.56</v>
      </c>
    </row>
    <row r="267" spans="1:6" hidden="1" x14ac:dyDescent="0.25">
      <c r="A267" t="s">
        <v>64</v>
      </c>
      <c r="B267" t="s">
        <v>48</v>
      </c>
      <c r="C267">
        <v>6010</v>
      </c>
      <c r="D267" t="s">
        <v>40</v>
      </c>
      <c r="E267" t="s">
        <v>49</v>
      </c>
      <c r="F267" s="4">
        <v>99948.47</v>
      </c>
    </row>
    <row r="268" spans="1:6" hidden="1" x14ac:dyDescent="0.25">
      <c r="A268" t="s">
        <v>64</v>
      </c>
      <c r="B268" t="s">
        <v>48</v>
      </c>
      <c r="C268">
        <v>6200</v>
      </c>
      <c r="D268" t="s">
        <v>41</v>
      </c>
      <c r="E268" t="s">
        <v>49</v>
      </c>
      <c r="F268" s="4">
        <v>10632.29</v>
      </c>
    </row>
    <row r="269" spans="1:6" hidden="1" x14ac:dyDescent="0.25">
      <c r="A269" t="s">
        <v>64</v>
      </c>
      <c r="B269" t="s">
        <v>48</v>
      </c>
      <c r="C269">
        <v>6300</v>
      </c>
      <c r="D269" t="s">
        <v>42</v>
      </c>
      <c r="E269" t="s">
        <v>49</v>
      </c>
      <c r="F269" s="4">
        <v>3892.88</v>
      </c>
    </row>
    <row r="270" spans="1:6" hidden="1" x14ac:dyDescent="0.25">
      <c r="A270" t="s">
        <v>64</v>
      </c>
      <c r="B270" t="s">
        <v>48</v>
      </c>
      <c r="C270">
        <v>6800</v>
      </c>
      <c r="D270" t="s">
        <v>43</v>
      </c>
      <c r="E270" t="s">
        <v>49</v>
      </c>
      <c r="F270" s="4">
        <v>8143.93</v>
      </c>
    </row>
    <row r="271" spans="1:6" hidden="1" x14ac:dyDescent="0.25">
      <c r="A271" t="s">
        <v>64</v>
      </c>
      <c r="B271" t="s">
        <v>50</v>
      </c>
      <c r="C271">
        <v>6000</v>
      </c>
      <c r="D271" t="s">
        <v>38</v>
      </c>
      <c r="E271" t="s">
        <v>34</v>
      </c>
      <c r="F271" s="4">
        <v>251242.55</v>
      </c>
    </row>
    <row r="272" spans="1:6" hidden="1" x14ac:dyDescent="0.25">
      <c r="A272" t="s">
        <v>64</v>
      </c>
      <c r="B272" t="s">
        <v>50</v>
      </c>
      <c r="C272">
        <v>6010</v>
      </c>
      <c r="D272" t="s">
        <v>40</v>
      </c>
      <c r="E272" t="s">
        <v>34</v>
      </c>
      <c r="F272" s="4">
        <v>52572.12</v>
      </c>
    </row>
    <row r="273" spans="1:6" hidden="1" x14ac:dyDescent="0.25">
      <c r="A273" t="s">
        <v>64</v>
      </c>
      <c r="B273" t="s">
        <v>50</v>
      </c>
      <c r="C273">
        <v>6200</v>
      </c>
      <c r="D273" t="s">
        <v>41</v>
      </c>
      <c r="E273" t="s">
        <v>34</v>
      </c>
      <c r="F273" s="4">
        <v>11526.71</v>
      </c>
    </row>
    <row r="274" spans="1:6" hidden="1" x14ac:dyDescent="0.25">
      <c r="A274" t="s">
        <v>64</v>
      </c>
      <c r="B274" t="s">
        <v>50</v>
      </c>
      <c r="C274">
        <v>6300</v>
      </c>
      <c r="D274" t="s">
        <v>42</v>
      </c>
      <c r="E274" t="s">
        <v>34</v>
      </c>
      <c r="F274" s="4">
        <v>4652.49</v>
      </c>
    </row>
    <row r="275" spans="1:6" hidden="1" x14ac:dyDescent="0.25">
      <c r="A275" t="s">
        <v>64</v>
      </c>
      <c r="B275" t="s">
        <v>50</v>
      </c>
      <c r="C275">
        <v>6800</v>
      </c>
      <c r="D275" t="s">
        <v>43</v>
      </c>
      <c r="E275" t="s">
        <v>34</v>
      </c>
      <c r="F275" s="4">
        <v>8596.2099999999991</v>
      </c>
    </row>
    <row r="276" spans="1:6" hidden="1" x14ac:dyDescent="0.25">
      <c r="A276" t="s">
        <v>64</v>
      </c>
      <c r="B276" t="s">
        <v>51</v>
      </c>
      <c r="C276">
        <v>6000</v>
      </c>
      <c r="D276" t="s">
        <v>38</v>
      </c>
      <c r="E276" t="s">
        <v>34</v>
      </c>
      <c r="F276" s="4">
        <v>314447.2</v>
      </c>
    </row>
    <row r="277" spans="1:6" hidden="1" x14ac:dyDescent="0.25">
      <c r="A277" t="s">
        <v>64</v>
      </c>
      <c r="B277" t="s">
        <v>51</v>
      </c>
      <c r="C277">
        <v>6010</v>
      </c>
      <c r="D277" t="s">
        <v>40</v>
      </c>
      <c r="E277" t="s">
        <v>34</v>
      </c>
      <c r="F277" s="4">
        <v>64844.95</v>
      </c>
    </row>
    <row r="278" spans="1:6" hidden="1" x14ac:dyDescent="0.25">
      <c r="A278" t="s">
        <v>64</v>
      </c>
      <c r="B278" t="s">
        <v>51</v>
      </c>
      <c r="C278">
        <v>6200</v>
      </c>
      <c r="D278" t="s">
        <v>41</v>
      </c>
      <c r="E278" t="s">
        <v>34</v>
      </c>
      <c r="F278" s="4">
        <v>7410.67</v>
      </c>
    </row>
    <row r="279" spans="1:6" hidden="1" x14ac:dyDescent="0.25">
      <c r="A279" t="s">
        <v>64</v>
      </c>
      <c r="B279" t="s">
        <v>51</v>
      </c>
      <c r="C279">
        <v>6300</v>
      </c>
      <c r="D279" t="s">
        <v>42</v>
      </c>
      <c r="E279" t="s">
        <v>34</v>
      </c>
      <c r="F279" s="4">
        <v>17100.46</v>
      </c>
    </row>
    <row r="280" spans="1:6" hidden="1" x14ac:dyDescent="0.25">
      <c r="A280" t="s">
        <v>64</v>
      </c>
      <c r="B280" t="s">
        <v>51</v>
      </c>
      <c r="C280">
        <v>6800</v>
      </c>
      <c r="D280" t="s">
        <v>43</v>
      </c>
      <c r="E280" t="s">
        <v>34</v>
      </c>
      <c r="F280" s="4">
        <v>8114.56</v>
      </c>
    </row>
    <row r="281" spans="1:6" hidden="1" x14ac:dyDescent="0.25">
      <c r="A281" t="s">
        <v>64</v>
      </c>
      <c r="B281" t="s">
        <v>37</v>
      </c>
      <c r="C281">
        <v>6020</v>
      </c>
      <c r="D281" t="s">
        <v>52</v>
      </c>
      <c r="E281" t="s">
        <v>39</v>
      </c>
      <c r="F281" s="4">
        <v>343601.28</v>
      </c>
    </row>
    <row r="282" spans="1:6" hidden="1" x14ac:dyDescent="0.25">
      <c r="A282" t="s">
        <v>64</v>
      </c>
      <c r="B282" t="s">
        <v>46</v>
      </c>
      <c r="C282">
        <v>6100</v>
      </c>
      <c r="D282" t="s">
        <v>53</v>
      </c>
      <c r="E282" t="s">
        <v>47</v>
      </c>
      <c r="F282" s="4">
        <v>117735.23</v>
      </c>
    </row>
    <row r="283" spans="1:6" hidden="1" x14ac:dyDescent="0.25">
      <c r="A283" t="s">
        <v>64</v>
      </c>
      <c r="B283" t="s">
        <v>51</v>
      </c>
      <c r="C283">
        <v>6100</v>
      </c>
      <c r="D283" t="s">
        <v>53</v>
      </c>
      <c r="E283" t="s">
        <v>34</v>
      </c>
      <c r="F283" s="4">
        <v>49747.360000000001</v>
      </c>
    </row>
    <row r="284" spans="1:6" hidden="1" x14ac:dyDescent="0.25">
      <c r="A284" t="s">
        <v>64</v>
      </c>
      <c r="B284" t="s">
        <v>44</v>
      </c>
      <c r="C284">
        <v>6400</v>
      </c>
      <c r="D284" t="s">
        <v>54</v>
      </c>
      <c r="E284" t="s">
        <v>39</v>
      </c>
      <c r="F284" s="4">
        <v>557286.55000000005</v>
      </c>
    </row>
    <row r="285" spans="1:6" hidden="1" x14ac:dyDescent="0.25">
      <c r="A285" t="s">
        <v>64</v>
      </c>
      <c r="B285" t="s">
        <v>44</v>
      </c>
      <c r="C285">
        <v>6410</v>
      </c>
      <c r="D285" t="s">
        <v>55</v>
      </c>
      <c r="E285" t="s">
        <v>39</v>
      </c>
      <c r="F285" s="4">
        <v>59130.57</v>
      </c>
    </row>
    <row r="286" spans="1:6" hidden="1" x14ac:dyDescent="0.25">
      <c r="A286" t="s">
        <v>64</v>
      </c>
      <c r="B286" t="s">
        <v>48</v>
      </c>
      <c r="C286">
        <v>6500</v>
      </c>
      <c r="D286" t="s">
        <v>56</v>
      </c>
      <c r="E286" t="s">
        <v>49</v>
      </c>
      <c r="F286" s="4">
        <v>43471.83</v>
      </c>
    </row>
    <row r="287" spans="1:6" hidden="1" x14ac:dyDescent="0.25">
      <c r="A287" t="s">
        <v>64</v>
      </c>
      <c r="B287" t="s">
        <v>48</v>
      </c>
      <c r="C287">
        <v>6510</v>
      </c>
      <c r="D287" t="s">
        <v>57</v>
      </c>
      <c r="E287" t="s">
        <v>49</v>
      </c>
      <c r="F287" s="4">
        <v>30432.46</v>
      </c>
    </row>
    <row r="288" spans="1:6" hidden="1" x14ac:dyDescent="0.25">
      <c r="A288" t="s">
        <v>64</v>
      </c>
      <c r="B288" t="s">
        <v>48</v>
      </c>
      <c r="C288">
        <v>6600</v>
      </c>
      <c r="D288" t="s">
        <v>58</v>
      </c>
      <c r="E288" t="s">
        <v>49</v>
      </c>
      <c r="F288" s="4">
        <v>312000</v>
      </c>
    </row>
    <row r="289" spans="1:6" hidden="1" x14ac:dyDescent="0.25">
      <c r="A289" t="s">
        <v>64</v>
      </c>
      <c r="B289" t="s">
        <v>48</v>
      </c>
      <c r="C289">
        <v>6700</v>
      </c>
      <c r="D289" t="s">
        <v>59</v>
      </c>
      <c r="E289" t="s">
        <v>49</v>
      </c>
      <c r="F289" s="4">
        <v>147000</v>
      </c>
    </row>
    <row r="290" spans="1:6" hidden="1" x14ac:dyDescent="0.25">
      <c r="A290" t="s">
        <v>65</v>
      </c>
      <c r="B290" t="s">
        <v>31</v>
      </c>
      <c r="C290">
        <v>4000</v>
      </c>
      <c r="D290" t="s">
        <v>32</v>
      </c>
      <c r="E290" t="s">
        <v>31</v>
      </c>
      <c r="F290" s="4">
        <v>9782019.0700000003</v>
      </c>
    </row>
    <row r="291" spans="1:6" x14ac:dyDescent="0.25">
      <c r="A291" t="s">
        <v>65</v>
      </c>
      <c r="B291" t="s">
        <v>31</v>
      </c>
      <c r="C291">
        <v>4100</v>
      </c>
      <c r="D291" t="s">
        <v>33</v>
      </c>
      <c r="E291" t="s">
        <v>31</v>
      </c>
      <c r="F291" s="4">
        <v>793100</v>
      </c>
    </row>
    <row r="292" spans="1:6" hidden="1" x14ac:dyDescent="0.25">
      <c r="A292" t="s">
        <v>65</v>
      </c>
      <c r="B292" t="s">
        <v>34</v>
      </c>
      <c r="C292">
        <v>5000</v>
      </c>
      <c r="D292" t="s">
        <v>35</v>
      </c>
      <c r="E292" t="s">
        <v>34</v>
      </c>
      <c r="F292" s="4">
        <v>985895.29</v>
      </c>
    </row>
    <row r="293" spans="1:6" hidden="1" x14ac:dyDescent="0.25">
      <c r="A293" t="s">
        <v>65</v>
      </c>
      <c r="B293" t="s">
        <v>34</v>
      </c>
      <c r="C293">
        <v>5300</v>
      </c>
      <c r="D293" t="s">
        <v>36</v>
      </c>
      <c r="E293" t="s">
        <v>34</v>
      </c>
      <c r="F293" s="4">
        <v>170333.2</v>
      </c>
    </row>
    <row r="294" spans="1:6" hidden="1" x14ac:dyDescent="0.25">
      <c r="A294" t="s">
        <v>65</v>
      </c>
      <c r="B294" t="s">
        <v>37</v>
      </c>
      <c r="C294">
        <v>6000</v>
      </c>
      <c r="D294" t="s">
        <v>38</v>
      </c>
      <c r="E294" t="s">
        <v>39</v>
      </c>
      <c r="F294" s="4">
        <v>844179.4</v>
      </c>
    </row>
    <row r="295" spans="1:6" hidden="1" x14ac:dyDescent="0.25">
      <c r="A295" t="s">
        <v>65</v>
      </c>
      <c r="B295" t="s">
        <v>37</v>
      </c>
      <c r="C295">
        <v>6010</v>
      </c>
      <c r="D295" t="s">
        <v>40</v>
      </c>
      <c r="E295" t="s">
        <v>39</v>
      </c>
      <c r="F295" s="4">
        <v>178684.62</v>
      </c>
    </row>
    <row r="296" spans="1:6" hidden="1" x14ac:dyDescent="0.25">
      <c r="A296" t="s">
        <v>65</v>
      </c>
      <c r="B296" t="s">
        <v>37</v>
      </c>
      <c r="C296">
        <v>6200</v>
      </c>
      <c r="D296" t="s">
        <v>41</v>
      </c>
      <c r="E296" t="s">
        <v>39</v>
      </c>
      <c r="F296" s="4">
        <v>25487.11</v>
      </c>
    </row>
    <row r="297" spans="1:6" hidden="1" x14ac:dyDescent="0.25">
      <c r="A297" t="s">
        <v>65</v>
      </c>
      <c r="B297" t="s">
        <v>37</v>
      </c>
      <c r="C297">
        <v>6300</v>
      </c>
      <c r="D297" t="s">
        <v>42</v>
      </c>
      <c r="E297" t="s">
        <v>39</v>
      </c>
      <c r="F297" s="4">
        <v>66629.179999999993</v>
      </c>
    </row>
    <row r="298" spans="1:6" hidden="1" x14ac:dyDescent="0.25">
      <c r="A298" t="s">
        <v>65</v>
      </c>
      <c r="B298" t="s">
        <v>37</v>
      </c>
      <c r="C298">
        <v>6800</v>
      </c>
      <c r="D298" t="s">
        <v>43</v>
      </c>
      <c r="E298" t="s">
        <v>39</v>
      </c>
      <c r="F298" s="4">
        <v>17469.98</v>
      </c>
    </row>
    <row r="299" spans="1:6" hidden="1" x14ac:dyDescent="0.25">
      <c r="A299" t="s">
        <v>65</v>
      </c>
      <c r="B299" t="s">
        <v>44</v>
      </c>
      <c r="C299">
        <v>6000</v>
      </c>
      <c r="D299" t="s">
        <v>38</v>
      </c>
      <c r="E299" t="s">
        <v>39</v>
      </c>
      <c r="F299" s="4">
        <v>272444.2</v>
      </c>
    </row>
    <row r="300" spans="1:6" hidden="1" x14ac:dyDescent="0.25">
      <c r="A300" t="s">
        <v>65</v>
      </c>
      <c r="B300" t="s">
        <v>44</v>
      </c>
      <c r="C300">
        <v>6010</v>
      </c>
      <c r="D300" t="s">
        <v>40</v>
      </c>
      <c r="E300" t="s">
        <v>39</v>
      </c>
      <c r="F300" s="4">
        <v>55834.53</v>
      </c>
    </row>
    <row r="301" spans="1:6" hidden="1" x14ac:dyDescent="0.25">
      <c r="A301" t="s">
        <v>65</v>
      </c>
      <c r="B301" t="s">
        <v>44</v>
      </c>
      <c r="C301">
        <v>6200</v>
      </c>
      <c r="D301" t="s">
        <v>41</v>
      </c>
      <c r="E301" t="s">
        <v>39</v>
      </c>
      <c r="F301" s="4">
        <v>7305.74</v>
      </c>
    </row>
    <row r="302" spans="1:6" hidden="1" x14ac:dyDescent="0.25">
      <c r="A302" t="s">
        <v>65</v>
      </c>
      <c r="B302" t="s">
        <v>44</v>
      </c>
      <c r="C302">
        <v>6300</v>
      </c>
      <c r="D302" t="s">
        <v>42</v>
      </c>
      <c r="E302" t="s">
        <v>39</v>
      </c>
      <c r="F302" s="4">
        <v>8155</v>
      </c>
    </row>
    <row r="303" spans="1:6" hidden="1" x14ac:dyDescent="0.25">
      <c r="A303" t="s">
        <v>65</v>
      </c>
      <c r="B303" t="s">
        <v>44</v>
      </c>
      <c r="C303">
        <v>6800</v>
      </c>
      <c r="D303" t="s">
        <v>43</v>
      </c>
      <c r="E303" t="s">
        <v>39</v>
      </c>
      <c r="F303" s="4">
        <v>9491.5300000000007</v>
      </c>
    </row>
    <row r="304" spans="1:6" hidden="1" x14ac:dyDescent="0.25">
      <c r="A304" t="s">
        <v>65</v>
      </c>
      <c r="B304" t="s">
        <v>45</v>
      </c>
      <c r="C304">
        <v>6000</v>
      </c>
      <c r="D304" t="s">
        <v>38</v>
      </c>
      <c r="E304" t="s">
        <v>39</v>
      </c>
      <c r="F304" s="4">
        <v>309119.71999999997</v>
      </c>
    </row>
    <row r="305" spans="1:6" hidden="1" x14ac:dyDescent="0.25">
      <c r="A305" t="s">
        <v>65</v>
      </c>
      <c r="B305" t="s">
        <v>45</v>
      </c>
      <c r="C305">
        <v>6010</v>
      </c>
      <c r="D305" t="s">
        <v>40</v>
      </c>
      <c r="E305" t="s">
        <v>39</v>
      </c>
      <c r="F305" s="4">
        <v>63668.91</v>
      </c>
    </row>
    <row r="306" spans="1:6" hidden="1" x14ac:dyDescent="0.25">
      <c r="A306" t="s">
        <v>65</v>
      </c>
      <c r="B306" t="s">
        <v>45</v>
      </c>
      <c r="C306">
        <v>6200</v>
      </c>
      <c r="D306" t="s">
        <v>41</v>
      </c>
      <c r="E306" t="s">
        <v>39</v>
      </c>
      <c r="F306" s="4">
        <v>10630.79</v>
      </c>
    </row>
    <row r="307" spans="1:6" hidden="1" x14ac:dyDescent="0.25">
      <c r="A307" t="s">
        <v>65</v>
      </c>
      <c r="B307" t="s">
        <v>45</v>
      </c>
      <c r="C307">
        <v>6300</v>
      </c>
      <c r="D307" t="s">
        <v>42</v>
      </c>
      <c r="E307" t="s">
        <v>39</v>
      </c>
      <c r="F307" s="4">
        <v>11209.88</v>
      </c>
    </row>
    <row r="308" spans="1:6" hidden="1" x14ac:dyDescent="0.25">
      <c r="A308" t="s">
        <v>65</v>
      </c>
      <c r="B308" t="s">
        <v>45</v>
      </c>
      <c r="C308">
        <v>6800</v>
      </c>
      <c r="D308" t="s">
        <v>43</v>
      </c>
      <c r="E308" t="s">
        <v>39</v>
      </c>
      <c r="F308" s="4">
        <v>14315.11</v>
      </c>
    </row>
    <row r="309" spans="1:6" hidden="1" x14ac:dyDescent="0.25">
      <c r="A309" t="s">
        <v>65</v>
      </c>
      <c r="B309" t="s">
        <v>46</v>
      </c>
      <c r="C309">
        <v>6000</v>
      </c>
      <c r="D309" t="s">
        <v>38</v>
      </c>
      <c r="E309" t="s">
        <v>47</v>
      </c>
      <c r="F309" s="4">
        <v>2156251.9500000002</v>
      </c>
    </row>
    <row r="310" spans="1:6" hidden="1" x14ac:dyDescent="0.25">
      <c r="A310" t="s">
        <v>65</v>
      </c>
      <c r="B310" t="s">
        <v>46</v>
      </c>
      <c r="C310">
        <v>6010</v>
      </c>
      <c r="D310" t="s">
        <v>40</v>
      </c>
      <c r="E310" t="s">
        <v>47</v>
      </c>
      <c r="F310" s="4">
        <v>450125.18</v>
      </c>
    </row>
    <row r="311" spans="1:6" hidden="1" x14ac:dyDescent="0.25">
      <c r="A311" t="s">
        <v>65</v>
      </c>
      <c r="B311" t="s">
        <v>46</v>
      </c>
      <c r="C311">
        <v>6200</v>
      </c>
      <c r="D311" t="s">
        <v>41</v>
      </c>
      <c r="E311" t="s">
        <v>47</v>
      </c>
      <c r="F311" s="4">
        <v>42262.03</v>
      </c>
    </row>
    <row r="312" spans="1:6" hidden="1" x14ac:dyDescent="0.25">
      <c r="A312" t="s">
        <v>65</v>
      </c>
      <c r="B312" t="s">
        <v>46</v>
      </c>
      <c r="C312">
        <v>6300</v>
      </c>
      <c r="D312" t="s">
        <v>42</v>
      </c>
      <c r="E312" t="s">
        <v>47</v>
      </c>
      <c r="F312" s="4">
        <v>11352.12</v>
      </c>
    </row>
    <row r="313" spans="1:6" hidden="1" x14ac:dyDescent="0.25">
      <c r="A313" t="s">
        <v>65</v>
      </c>
      <c r="B313" t="s">
        <v>46</v>
      </c>
      <c r="C313">
        <v>6800</v>
      </c>
      <c r="D313" t="s">
        <v>43</v>
      </c>
      <c r="E313" t="s">
        <v>47</v>
      </c>
      <c r="F313" s="4">
        <v>48720.480000000003</v>
      </c>
    </row>
    <row r="314" spans="1:6" hidden="1" x14ac:dyDescent="0.25">
      <c r="A314" t="s">
        <v>65</v>
      </c>
      <c r="B314" t="s">
        <v>48</v>
      </c>
      <c r="C314">
        <v>6000</v>
      </c>
      <c r="D314" t="s">
        <v>38</v>
      </c>
      <c r="E314" t="s">
        <v>49</v>
      </c>
      <c r="F314" s="4">
        <v>475417.7</v>
      </c>
    </row>
    <row r="315" spans="1:6" hidden="1" x14ac:dyDescent="0.25">
      <c r="A315" t="s">
        <v>65</v>
      </c>
      <c r="B315" t="s">
        <v>48</v>
      </c>
      <c r="C315">
        <v>6010</v>
      </c>
      <c r="D315" t="s">
        <v>40</v>
      </c>
      <c r="E315" t="s">
        <v>49</v>
      </c>
      <c r="F315" s="4">
        <v>99152.82</v>
      </c>
    </row>
    <row r="316" spans="1:6" hidden="1" x14ac:dyDescent="0.25">
      <c r="A316" t="s">
        <v>65</v>
      </c>
      <c r="B316" t="s">
        <v>48</v>
      </c>
      <c r="C316">
        <v>6200</v>
      </c>
      <c r="D316" t="s">
        <v>41</v>
      </c>
      <c r="E316" t="s">
        <v>49</v>
      </c>
      <c r="F316" s="4">
        <v>11783.05</v>
      </c>
    </row>
    <row r="317" spans="1:6" hidden="1" x14ac:dyDescent="0.25">
      <c r="A317" t="s">
        <v>65</v>
      </c>
      <c r="B317" t="s">
        <v>48</v>
      </c>
      <c r="C317">
        <v>6300</v>
      </c>
      <c r="D317" t="s">
        <v>42</v>
      </c>
      <c r="E317" t="s">
        <v>49</v>
      </c>
      <c r="F317" s="4">
        <v>4010.52</v>
      </c>
    </row>
    <row r="318" spans="1:6" hidden="1" x14ac:dyDescent="0.25">
      <c r="A318" t="s">
        <v>65</v>
      </c>
      <c r="B318" t="s">
        <v>48</v>
      </c>
      <c r="C318">
        <v>6800</v>
      </c>
      <c r="D318" t="s">
        <v>43</v>
      </c>
      <c r="E318" t="s">
        <v>49</v>
      </c>
      <c r="F318" s="4">
        <v>9133.9599999999991</v>
      </c>
    </row>
    <row r="319" spans="1:6" hidden="1" x14ac:dyDescent="0.25">
      <c r="A319" t="s">
        <v>65</v>
      </c>
      <c r="B319" t="s">
        <v>50</v>
      </c>
      <c r="C319">
        <v>6000</v>
      </c>
      <c r="D319" t="s">
        <v>38</v>
      </c>
      <c r="E319" t="s">
        <v>34</v>
      </c>
      <c r="F319" s="4">
        <v>256240.97</v>
      </c>
    </row>
    <row r="320" spans="1:6" hidden="1" x14ac:dyDescent="0.25">
      <c r="A320" t="s">
        <v>65</v>
      </c>
      <c r="B320" t="s">
        <v>50</v>
      </c>
      <c r="C320">
        <v>6010</v>
      </c>
      <c r="D320" t="s">
        <v>40</v>
      </c>
      <c r="E320" t="s">
        <v>34</v>
      </c>
      <c r="F320" s="4">
        <v>50188.41</v>
      </c>
    </row>
    <row r="321" spans="1:6" hidden="1" x14ac:dyDescent="0.25">
      <c r="A321" t="s">
        <v>65</v>
      </c>
      <c r="B321" t="s">
        <v>50</v>
      </c>
      <c r="C321">
        <v>6200</v>
      </c>
      <c r="D321" t="s">
        <v>41</v>
      </c>
      <c r="E321" t="s">
        <v>34</v>
      </c>
      <c r="F321" s="4">
        <v>10845.13</v>
      </c>
    </row>
    <row r="322" spans="1:6" hidden="1" x14ac:dyDescent="0.25">
      <c r="A322" t="s">
        <v>65</v>
      </c>
      <c r="B322" t="s">
        <v>50</v>
      </c>
      <c r="C322">
        <v>6300</v>
      </c>
      <c r="D322" t="s">
        <v>42</v>
      </c>
      <c r="E322" t="s">
        <v>34</v>
      </c>
      <c r="F322" s="4">
        <v>3825.79</v>
      </c>
    </row>
    <row r="323" spans="1:6" hidden="1" x14ac:dyDescent="0.25">
      <c r="A323" t="s">
        <v>65</v>
      </c>
      <c r="B323" t="s">
        <v>50</v>
      </c>
      <c r="C323">
        <v>6800</v>
      </c>
      <c r="D323" t="s">
        <v>43</v>
      </c>
      <c r="E323" t="s">
        <v>34</v>
      </c>
      <c r="F323" s="4">
        <v>8808.7800000000007</v>
      </c>
    </row>
    <row r="324" spans="1:6" hidden="1" x14ac:dyDescent="0.25">
      <c r="A324" t="s">
        <v>65</v>
      </c>
      <c r="B324" t="s">
        <v>51</v>
      </c>
      <c r="C324">
        <v>6000</v>
      </c>
      <c r="D324" t="s">
        <v>38</v>
      </c>
      <c r="E324" t="s">
        <v>34</v>
      </c>
      <c r="F324" s="4">
        <v>319219.23</v>
      </c>
    </row>
    <row r="325" spans="1:6" hidden="1" x14ac:dyDescent="0.25">
      <c r="A325" t="s">
        <v>65</v>
      </c>
      <c r="B325" t="s">
        <v>51</v>
      </c>
      <c r="C325">
        <v>6010</v>
      </c>
      <c r="D325" t="s">
        <v>40</v>
      </c>
      <c r="E325" t="s">
        <v>34</v>
      </c>
      <c r="F325" s="4">
        <v>65716.08</v>
      </c>
    </row>
    <row r="326" spans="1:6" hidden="1" x14ac:dyDescent="0.25">
      <c r="A326" t="s">
        <v>65</v>
      </c>
      <c r="B326" t="s">
        <v>51</v>
      </c>
      <c r="C326">
        <v>6200</v>
      </c>
      <c r="D326" t="s">
        <v>41</v>
      </c>
      <c r="E326" t="s">
        <v>34</v>
      </c>
      <c r="F326" s="4">
        <v>7128.87</v>
      </c>
    </row>
    <row r="327" spans="1:6" hidden="1" x14ac:dyDescent="0.25">
      <c r="A327" t="s">
        <v>65</v>
      </c>
      <c r="B327" t="s">
        <v>51</v>
      </c>
      <c r="C327">
        <v>6300</v>
      </c>
      <c r="D327" t="s">
        <v>42</v>
      </c>
      <c r="E327" t="s">
        <v>34</v>
      </c>
      <c r="F327" s="4">
        <v>18598.63</v>
      </c>
    </row>
    <row r="328" spans="1:6" hidden="1" x14ac:dyDescent="0.25">
      <c r="A328" t="s">
        <v>65</v>
      </c>
      <c r="B328" t="s">
        <v>51</v>
      </c>
      <c r="C328">
        <v>6800</v>
      </c>
      <c r="D328" t="s">
        <v>43</v>
      </c>
      <c r="E328" t="s">
        <v>34</v>
      </c>
      <c r="F328" s="4">
        <v>13601.58</v>
      </c>
    </row>
    <row r="329" spans="1:6" hidden="1" x14ac:dyDescent="0.25">
      <c r="A329" t="s">
        <v>65</v>
      </c>
      <c r="B329" t="s">
        <v>37</v>
      </c>
      <c r="C329">
        <v>6020</v>
      </c>
      <c r="D329" t="s">
        <v>52</v>
      </c>
      <c r="E329" t="s">
        <v>39</v>
      </c>
      <c r="F329" s="4">
        <v>156142.26999999999</v>
      </c>
    </row>
    <row r="330" spans="1:6" hidden="1" x14ac:dyDescent="0.25">
      <c r="A330" t="s">
        <v>65</v>
      </c>
      <c r="B330" t="s">
        <v>46</v>
      </c>
      <c r="C330">
        <v>6100</v>
      </c>
      <c r="D330" t="s">
        <v>53</v>
      </c>
      <c r="E330" t="s">
        <v>47</v>
      </c>
      <c r="F330" s="4">
        <v>122986.63</v>
      </c>
    </row>
    <row r="331" spans="1:6" hidden="1" x14ac:dyDescent="0.25">
      <c r="A331" t="s">
        <v>65</v>
      </c>
      <c r="B331" t="s">
        <v>51</v>
      </c>
      <c r="C331">
        <v>6100</v>
      </c>
      <c r="D331" t="s">
        <v>53</v>
      </c>
      <c r="E331" t="s">
        <v>34</v>
      </c>
      <c r="F331" s="4">
        <v>54242.13</v>
      </c>
    </row>
    <row r="332" spans="1:6" hidden="1" x14ac:dyDescent="0.25">
      <c r="A332" t="s">
        <v>65</v>
      </c>
      <c r="B332" t="s">
        <v>44</v>
      </c>
      <c r="C332">
        <v>6400</v>
      </c>
      <c r="D332" t="s">
        <v>54</v>
      </c>
      <c r="E332" t="s">
        <v>39</v>
      </c>
      <c r="F332" s="4">
        <v>542382.04</v>
      </c>
    </row>
    <row r="333" spans="1:6" hidden="1" x14ac:dyDescent="0.25">
      <c r="A333" t="s">
        <v>65</v>
      </c>
      <c r="B333" t="s">
        <v>44</v>
      </c>
      <c r="C333">
        <v>6410</v>
      </c>
      <c r="D333" t="s">
        <v>55</v>
      </c>
      <c r="E333" t="s">
        <v>39</v>
      </c>
      <c r="F333" s="4">
        <v>58736.93</v>
      </c>
    </row>
    <row r="334" spans="1:6" hidden="1" x14ac:dyDescent="0.25">
      <c r="A334" t="s">
        <v>65</v>
      </c>
      <c r="B334" t="s">
        <v>48</v>
      </c>
      <c r="C334">
        <v>6500</v>
      </c>
      <c r="D334" t="s">
        <v>56</v>
      </c>
      <c r="E334" t="s">
        <v>49</v>
      </c>
      <c r="F334" s="4">
        <v>38148.639999999999</v>
      </c>
    </row>
    <row r="335" spans="1:6" hidden="1" x14ac:dyDescent="0.25">
      <c r="A335" t="s">
        <v>65</v>
      </c>
      <c r="B335" t="s">
        <v>48</v>
      </c>
      <c r="C335">
        <v>6510</v>
      </c>
      <c r="D335" t="s">
        <v>57</v>
      </c>
      <c r="E335" t="s">
        <v>49</v>
      </c>
      <c r="F335" s="4">
        <v>29089.38</v>
      </c>
    </row>
    <row r="336" spans="1:6" hidden="1" x14ac:dyDescent="0.25">
      <c r="A336" t="s">
        <v>65</v>
      </c>
      <c r="B336" t="s">
        <v>48</v>
      </c>
      <c r="C336">
        <v>6600</v>
      </c>
      <c r="D336" t="s">
        <v>58</v>
      </c>
      <c r="E336" t="s">
        <v>49</v>
      </c>
      <c r="F336" s="4">
        <v>312000</v>
      </c>
    </row>
    <row r="337" spans="1:6" hidden="1" x14ac:dyDescent="0.25">
      <c r="A337" t="s">
        <v>65</v>
      </c>
      <c r="B337" t="s">
        <v>48</v>
      </c>
      <c r="C337">
        <v>6700</v>
      </c>
      <c r="D337" t="s">
        <v>59</v>
      </c>
      <c r="E337" t="s">
        <v>49</v>
      </c>
      <c r="F337" s="4">
        <v>148500</v>
      </c>
    </row>
    <row r="338" spans="1:6" hidden="1" x14ac:dyDescent="0.25">
      <c r="A338" t="s">
        <v>66</v>
      </c>
      <c r="B338" t="s">
        <v>31</v>
      </c>
      <c r="C338">
        <v>4000</v>
      </c>
      <c r="D338" t="s">
        <v>32</v>
      </c>
      <c r="E338" t="s">
        <v>31</v>
      </c>
      <c r="F338" s="4">
        <v>9886056.5299999993</v>
      </c>
    </row>
    <row r="339" spans="1:6" x14ac:dyDescent="0.25">
      <c r="A339" t="s">
        <v>66</v>
      </c>
      <c r="B339" t="s">
        <v>31</v>
      </c>
      <c r="C339">
        <v>4100</v>
      </c>
      <c r="D339" t="s">
        <v>33</v>
      </c>
      <c r="E339" t="s">
        <v>31</v>
      </c>
      <c r="F339" s="4">
        <v>748800</v>
      </c>
    </row>
    <row r="340" spans="1:6" hidden="1" x14ac:dyDescent="0.25">
      <c r="A340" t="s">
        <v>66</v>
      </c>
      <c r="B340" t="s">
        <v>34</v>
      </c>
      <c r="C340">
        <v>5000</v>
      </c>
      <c r="D340" t="s">
        <v>35</v>
      </c>
      <c r="E340" t="s">
        <v>34</v>
      </c>
      <c r="F340" s="4">
        <v>1034721.38</v>
      </c>
    </row>
    <row r="341" spans="1:6" hidden="1" x14ac:dyDescent="0.25">
      <c r="A341" t="s">
        <v>66</v>
      </c>
      <c r="B341" t="s">
        <v>34</v>
      </c>
      <c r="C341">
        <v>5300</v>
      </c>
      <c r="D341" t="s">
        <v>36</v>
      </c>
      <c r="E341" t="s">
        <v>34</v>
      </c>
      <c r="F341" s="4">
        <v>176754.82</v>
      </c>
    </row>
    <row r="342" spans="1:6" hidden="1" x14ac:dyDescent="0.25">
      <c r="A342" t="s">
        <v>66</v>
      </c>
      <c r="B342" t="s">
        <v>37</v>
      </c>
      <c r="C342">
        <v>6000</v>
      </c>
      <c r="D342" t="s">
        <v>38</v>
      </c>
      <c r="E342" t="s">
        <v>39</v>
      </c>
      <c r="F342" s="4">
        <v>869054.18</v>
      </c>
    </row>
    <row r="343" spans="1:6" hidden="1" x14ac:dyDescent="0.25">
      <c r="A343" t="s">
        <v>66</v>
      </c>
      <c r="B343" t="s">
        <v>37</v>
      </c>
      <c r="C343">
        <v>6010</v>
      </c>
      <c r="D343" t="s">
        <v>40</v>
      </c>
      <c r="E343" t="s">
        <v>39</v>
      </c>
      <c r="F343" s="4">
        <v>188610.22</v>
      </c>
    </row>
    <row r="344" spans="1:6" hidden="1" x14ac:dyDescent="0.25">
      <c r="A344" t="s">
        <v>66</v>
      </c>
      <c r="B344" t="s">
        <v>37</v>
      </c>
      <c r="C344">
        <v>6200</v>
      </c>
      <c r="D344" t="s">
        <v>41</v>
      </c>
      <c r="E344" t="s">
        <v>39</v>
      </c>
      <c r="F344" s="4">
        <v>27891.34</v>
      </c>
    </row>
    <row r="345" spans="1:6" hidden="1" x14ac:dyDescent="0.25">
      <c r="A345" t="s">
        <v>66</v>
      </c>
      <c r="B345" t="s">
        <v>37</v>
      </c>
      <c r="C345">
        <v>6300</v>
      </c>
      <c r="D345" t="s">
        <v>42</v>
      </c>
      <c r="E345" t="s">
        <v>39</v>
      </c>
      <c r="F345" s="4">
        <v>68138.97</v>
      </c>
    </row>
    <row r="346" spans="1:6" hidden="1" x14ac:dyDescent="0.25">
      <c r="A346" t="s">
        <v>66</v>
      </c>
      <c r="B346" t="s">
        <v>37</v>
      </c>
      <c r="C346">
        <v>6800</v>
      </c>
      <c r="D346" t="s">
        <v>43</v>
      </c>
      <c r="E346" t="s">
        <v>39</v>
      </c>
      <c r="F346" s="4">
        <v>17089.36</v>
      </c>
    </row>
    <row r="347" spans="1:6" hidden="1" x14ac:dyDescent="0.25">
      <c r="A347" t="s">
        <v>66</v>
      </c>
      <c r="B347" t="s">
        <v>44</v>
      </c>
      <c r="C347">
        <v>6000</v>
      </c>
      <c r="D347" t="s">
        <v>38</v>
      </c>
      <c r="E347" t="s">
        <v>39</v>
      </c>
      <c r="F347" s="4">
        <v>283741.78999999998</v>
      </c>
    </row>
    <row r="348" spans="1:6" hidden="1" x14ac:dyDescent="0.25">
      <c r="A348" t="s">
        <v>66</v>
      </c>
      <c r="B348" t="s">
        <v>44</v>
      </c>
      <c r="C348">
        <v>6010</v>
      </c>
      <c r="D348" t="s">
        <v>40</v>
      </c>
      <c r="E348" t="s">
        <v>39</v>
      </c>
      <c r="F348" s="4">
        <v>57255.1</v>
      </c>
    </row>
    <row r="349" spans="1:6" hidden="1" x14ac:dyDescent="0.25">
      <c r="A349" t="s">
        <v>66</v>
      </c>
      <c r="B349" t="s">
        <v>44</v>
      </c>
      <c r="C349">
        <v>6200</v>
      </c>
      <c r="D349" t="s">
        <v>41</v>
      </c>
      <c r="E349" t="s">
        <v>39</v>
      </c>
      <c r="F349" s="4">
        <v>8013.35</v>
      </c>
    </row>
    <row r="350" spans="1:6" hidden="1" x14ac:dyDescent="0.25">
      <c r="A350" t="s">
        <v>66</v>
      </c>
      <c r="B350" t="s">
        <v>44</v>
      </c>
      <c r="C350">
        <v>6300</v>
      </c>
      <c r="D350" t="s">
        <v>42</v>
      </c>
      <c r="E350" t="s">
        <v>39</v>
      </c>
      <c r="F350" s="4">
        <v>9306.9599999999991</v>
      </c>
    </row>
    <row r="351" spans="1:6" hidden="1" x14ac:dyDescent="0.25">
      <c r="A351" t="s">
        <v>66</v>
      </c>
      <c r="B351" t="s">
        <v>44</v>
      </c>
      <c r="C351">
        <v>6800</v>
      </c>
      <c r="D351" t="s">
        <v>43</v>
      </c>
      <c r="E351" t="s">
        <v>39</v>
      </c>
      <c r="F351" s="4">
        <v>13159.67</v>
      </c>
    </row>
    <row r="352" spans="1:6" hidden="1" x14ac:dyDescent="0.25">
      <c r="A352" t="s">
        <v>66</v>
      </c>
      <c r="B352" t="s">
        <v>45</v>
      </c>
      <c r="C352">
        <v>6000</v>
      </c>
      <c r="D352" t="s">
        <v>38</v>
      </c>
      <c r="E352" t="s">
        <v>39</v>
      </c>
      <c r="F352" s="4">
        <v>310071.5</v>
      </c>
    </row>
    <row r="353" spans="1:6" hidden="1" x14ac:dyDescent="0.25">
      <c r="A353" t="s">
        <v>66</v>
      </c>
      <c r="B353" t="s">
        <v>45</v>
      </c>
      <c r="C353">
        <v>6010</v>
      </c>
      <c r="D353" t="s">
        <v>40</v>
      </c>
      <c r="E353" t="s">
        <v>39</v>
      </c>
      <c r="F353" s="4">
        <v>65563.429999999993</v>
      </c>
    </row>
    <row r="354" spans="1:6" hidden="1" x14ac:dyDescent="0.25">
      <c r="A354" t="s">
        <v>66</v>
      </c>
      <c r="B354" t="s">
        <v>45</v>
      </c>
      <c r="C354">
        <v>6200</v>
      </c>
      <c r="D354" t="s">
        <v>41</v>
      </c>
      <c r="E354" t="s">
        <v>39</v>
      </c>
      <c r="F354" s="4">
        <v>10229.18</v>
      </c>
    </row>
    <row r="355" spans="1:6" hidden="1" x14ac:dyDescent="0.25">
      <c r="A355" t="s">
        <v>66</v>
      </c>
      <c r="B355" t="s">
        <v>45</v>
      </c>
      <c r="C355">
        <v>6300</v>
      </c>
      <c r="D355" t="s">
        <v>42</v>
      </c>
      <c r="E355" t="s">
        <v>39</v>
      </c>
      <c r="F355" s="4">
        <v>10893.37</v>
      </c>
    </row>
    <row r="356" spans="1:6" hidden="1" x14ac:dyDescent="0.25">
      <c r="A356" t="s">
        <v>66</v>
      </c>
      <c r="B356" t="s">
        <v>45</v>
      </c>
      <c r="C356">
        <v>6800</v>
      </c>
      <c r="D356" t="s">
        <v>43</v>
      </c>
      <c r="E356" t="s">
        <v>39</v>
      </c>
      <c r="F356" s="4">
        <v>8697.7099999999991</v>
      </c>
    </row>
    <row r="357" spans="1:6" hidden="1" x14ac:dyDescent="0.25">
      <c r="A357" t="s">
        <v>66</v>
      </c>
      <c r="B357" t="s">
        <v>46</v>
      </c>
      <c r="C357">
        <v>6000</v>
      </c>
      <c r="D357" t="s">
        <v>38</v>
      </c>
      <c r="E357" t="s">
        <v>47</v>
      </c>
      <c r="F357" s="4">
        <v>2193650.5299999998</v>
      </c>
    </row>
    <row r="358" spans="1:6" hidden="1" x14ac:dyDescent="0.25">
      <c r="A358" t="s">
        <v>66</v>
      </c>
      <c r="B358" t="s">
        <v>46</v>
      </c>
      <c r="C358">
        <v>6010</v>
      </c>
      <c r="D358" t="s">
        <v>40</v>
      </c>
      <c r="E358" t="s">
        <v>47</v>
      </c>
      <c r="F358" s="4">
        <v>449216.46</v>
      </c>
    </row>
    <row r="359" spans="1:6" hidden="1" x14ac:dyDescent="0.25">
      <c r="A359" t="s">
        <v>66</v>
      </c>
      <c r="B359" t="s">
        <v>46</v>
      </c>
      <c r="C359">
        <v>6200</v>
      </c>
      <c r="D359" t="s">
        <v>41</v>
      </c>
      <c r="E359" t="s">
        <v>47</v>
      </c>
      <c r="F359" s="4">
        <v>42697.49</v>
      </c>
    </row>
    <row r="360" spans="1:6" hidden="1" x14ac:dyDescent="0.25">
      <c r="A360" t="s">
        <v>66</v>
      </c>
      <c r="B360" t="s">
        <v>46</v>
      </c>
      <c r="C360">
        <v>6300</v>
      </c>
      <c r="D360" t="s">
        <v>42</v>
      </c>
      <c r="E360" t="s">
        <v>47</v>
      </c>
      <c r="F360" s="4">
        <v>15581.19</v>
      </c>
    </row>
    <row r="361" spans="1:6" hidden="1" x14ac:dyDescent="0.25">
      <c r="A361" t="s">
        <v>66</v>
      </c>
      <c r="B361" t="s">
        <v>46</v>
      </c>
      <c r="C361">
        <v>6800</v>
      </c>
      <c r="D361" t="s">
        <v>43</v>
      </c>
      <c r="E361" t="s">
        <v>47</v>
      </c>
      <c r="F361" s="4">
        <v>43712.25</v>
      </c>
    </row>
    <row r="362" spans="1:6" hidden="1" x14ac:dyDescent="0.25">
      <c r="A362" t="s">
        <v>66</v>
      </c>
      <c r="B362" t="s">
        <v>48</v>
      </c>
      <c r="C362">
        <v>6000</v>
      </c>
      <c r="D362" t="s">
        <v>38</v>
      </c>
      <c r="E362" t="s">
        <v>49</v>
      </c>
      <c r="F362" s="4">
        <v>481773.47</v>
      </c>
    </row>
    <row r="363" spans="1:6" hidden="1" x14ac:dyDescent="0.25">
      <c r="A363" t="s">
        <v>66</v>
      </c>
      <c r="B363" t="s">
        <v>48</v>
      </c>
      <c r="C363">
        <v>6010</v>
      </c>
      <c r="D363" t="s">
        <v>40</v>
      </c>
      <c r="E363" t="s">
        <v>49</v>
      </c>
      <c r="F363" s="4">
        <v>97621.25</v>
      </c>
    </row>
    <row r="364" spans="1:6" hidden="1" x14ac:dyDescent="0.25">
      <c r="A364" t="s">
        <v>66</v>
      </c>
      <c r="B364" t="s">
        <v>48</v>
      </c>
      <c r="C364">
        <v>6200</v>
      </c>
      <c r="D364" t="s">
        <v>41</v>
      </c>
      <c r="E364" t="s">
        <v>49</v>
      </c>
      <c r="F364" s="4">
        <v>11317.82</v>
      </c>
    </row>
    <row r="365" spans="1:6" hidden="1" x14ac:dyDescent="0.25">
      <c r="A365" t="s">
        <v>66</v>
      </c>
      <c r="B365" t="s">
        <v>48</v>
      </c>
      <c r="C365">
        <v>6300</v>
      </c>
      <c r="D365" t="s">
        <v>42</v>
      </c>
      <c r="E365" t="s">
        <v>49</v>
      </c>
      <c r="F365" s="4">
        <v>3722.91</v>
      </c>
    </row>
    <row r="366" spans="1:6" hidden="1" x14ac:dyDescent="0.25">
      <c r="A366" t="s">
        <v>66</v>
      </c>
      <c r="B366" t="s">
        <v>48</v>
      </c>
      <c r="C366">
        <v>6800</v>
      </c>
      <c r="D366" t="s">
        <v>43</v>
      </c>
      <c r="E366" t="s">
        <v>49</v>
      </c>
      <c r="F366" s="4">
        <v>12904.02</v>
      </c>
    </row>
    <row r="367" spans="1:6" hidden="1" x14ac:dyDescent="0.25">
      <c r="A367" t="s">
        <v>66</v>
      </c>
      <c r="B367" t="s">
        <v>50</v>
      </c>
      <c r="C367">
        <v>6000</v>
      </c>
      <c r="D367" t="s">
        <v>38</v>
      </c>
      <c r="E367" t="s">
        <v>34</v>
      </c>
      <c r="F367" s="4">
        <v>256859.61</v>
      </c>
    </row>
    <row r="368" spans="1:6" hidden="1" x14ac:dyDescent="0.25">
      <c r="A368" t="s">
        <v>66</v>
      </c>
      <c r="B368" t="s">
        <v>50</v>
      </c>
      <c r="C368">
        <v>6010</v>
      </c>
      <c r="D368" t="s">
        <v>40</v>
      </c>
      <c r="E368" t="s">
        <v>34</v>
      </c>
      <c r="F368" s="4">
        <v>52477.96</v>
      </c>
    </row>
    <row r="369" spans="1:6" hidden="1" x14ac:dyDescent="0.25">
      <c r="A369" t="s">
        <v>66</v>
      </c>
      <c r="B369" t="s">
        <v>50</v>
      </c>
      <c r="C369">
        <v>6200</v>
      </c>
      <c r="D369" t="s">
        <v>41</v>
      </c>
      <c r="E369" t="s">
        <v>34</v>
      </c>
      <c r="F369" s="4">
        <v>11523.52</v>
      </c>
    </row>
    <row r="370" spans="1:6" hidden="1" x14ac:dyDescent="0.25">
      <c r="A370" t="s">
        <v>66</v>
      </c>
      <c r="B370" t="s">
        <v>50</v>
      </c>
      <c r="C370">
        <v>6300</v>
      </c>
      <c r="D370" t="s">
        <v>42</v>
      </c>
      <c r="E370" t="s">
        <v>34</v>
      </c>
      <c r="F370" s="4">
        <v>3122.77</v>
      </c>
    </row>
    <row r="371" spans="1:6" hidden="1" x14ac:dyDescent="0.25">
      <c r="A371" t="s">
        <v>66</v>
      </c>
      <c r="B371" t="s">
        <v>50</v>
      </c>
      <c r="C371">
        <v>6800</v>
      </c>
      <c r="D371" t="s">
        <v>43</v>
      </c>
      <c r="E371" t="s">
        <v>34</v>
      </c>
      <c r="F371" s="4">
        <v>9270.67</v>
      </c>
    </row>
    <row r="372" spans="1:6" hidden="1" x14ac:dyDescent="0.25">
      <c r="A372" t="s">
        <v>66</v>
      </c>
      <c r="B372" t="s">
        <v>51</v>
      </c>
      <c r="C372">
        <v>6000</v>
      </c>
      <c r="D372" t="s">
        <v>38</v>
      </c>
      <c r="E372" t="s">
        <v>34</v>
      </c>
      <c r="F372" s="4">
        <v>325459.19</v>
      </c>
    </row>
    <row r="373" spans="1:6" hidden="1" x14ac:dyDescent="0.25">
      <c r="A373" t="s">
        <v>66</v>
      </c>
      <c r="B373" t="s">
        <v>51</v>
      </c>
      <c r="C373">
        <v>6010</v>
      </c>
      <c r="D373" t="s">
        <v>40</v>
      </c>
      <c r="E373" t="s">
        <v>34</v>
      </c>
      <c r="F373" s="4">
        <v>69299.42</v>
      </c>
    </row>
    <row r="374" spans="1:6" hidden="1" x14ac:dyDescent="0.25">
      <c r="A374" t="s">
        <v>66</v>
      </c>
      <c r="B374" t="s">
        <v>51</v>
      </c>
      <c r="C374">
        <v>6200</v>
      </c>
      <c r="D374" t="s">
        <v>41</v>
      </c>
      <c r="E374" t="s">
        <v>34</v>
      </c>
      <c r="F374" s="4">
        <v>8285.91</v>
      </c>
    </row>
    <row r="375" spans="1:6" hidden="1" x14ac:dyDescent="0.25">
      <c r="A375" t="s">
        <v>66</v>
      </c>
      <c r="B375" t="s">
        <v>51</v>
      </c>
      <c r="C375">
        <v>6300</v>
      </c>
      <c r="D375" t="s">
        <v>42</v>
      </c>
      <c r="E375" t="s">
        <v>34</v>
      </c>
      <c r="F375" s="4">
        <v>19893.419999999998</v>
      </c>
    </row>
    <row r="376" spans="1:6" hidden="1" x14ac:dyDescent="0.25">
      <c r="A376" t="s">
        <v>66</v>
      </c>
      <c r="B376" t="s">
        <v>51</v>
      </c>
      <c r="C376">
        <v>6800</v>
      </c>
      <c r="D376" t="s">
        <v>43</v>
      </c>
      <c r="E376" t="s">
        <v>34</v>
      </c>
      <c r="F376" s="4">
        <v>8418.3700000000008</v>
      </c>
    </row>
    <row r="377" spans="1:6" hidden="1" x14ac:dyDescent="0.25">
      <c r="A377" t="s">
        <v>66</v>
      </c>
      <c r="B377" t="s">
        <v>37</v>
      </c>
      <c r="C377">
        <v>6020</v>
      </c>
      <c r="D377" t="s">
        <v>52</v>
      </c>
      <c r="E377" t="s">
        <v>39</v>
      </c>
      <c r="F377" s="4">
        <v>219716.64</v>
      </c>
    </row>
    <row r="378" spans="1:6" hidden="1" x14ac:dyDescent="0.25">
      <c r="A378" t="s">
        <v>66</v>
      </c>
      <c r="B378" t="s">
        <v>46</v>
      </c>
      <c r="C378">
        <v>6100</v>
      </c>
      <c r="D378" t="s">
        <v>53</v>
      </c>
      <c r="E378" t="s">
        <v>47</v>
      </c>
      <c r="F378" s="4">
        <v>114588.05</v>
      </c>
    </row>
    <row r="379" spans="1:6" hidden="1" x14ac:dyDescent="0.25">
      <c r="A379" t="s">
        <v>66</v>
      </c>
      <c r="B379" t="s">
        <v>51</v>
      </c>
      <c r="C379">
        <v>6100</v>
      </c>
      <c r="D379" t="s">
        <v>53</v>
      </c>
      <c r="E379" t="s">
        <v>34</v>
      </c>
      <c r="F379" s="4">
        <v>47367.37</v>
      </c>
    </row>
    <row r="380" spans="1:6" hidden="1" x14ac:dyDescent="0.25">
      <c r="A380" t="s">
        <v>66</v>
      </c>
      <c r="B380" t="s">
        <v>44</v>
      </c>
      <c r="C380">
        <v>6400</v>
      </c>
      <c r="D380" t="s">
        <v>54</v>
      </c>
      <c r="E380" t="s">
        <v>39</v>
      </c>
      <c r="F380" s="4">
        <v>538407.69999999995</v>
      </c>
    </row>
    <row r="381" spans="1:6" hidden="1" x14ac:dyDescent="0.25">
      <c r="A381" t="s">
        <v>66</v>
      </c>
      <c r="B381" t="s">
        <v>44</v>
      </c>
      <c r="C381">
        <v>6410</v>
      </c>
      <c r="D381" t="s">
        <v>55</v>
      </c>
      <c r="E381" t="s">
        <v>39</v>
      </c>
      <c r="F381" s="4">
        <v>56875.87</v>
      </c>
    </row>
    <row r="382" spans="1:6" hidden="1" x14ac:dyDescent="0.25">
      <c r="A382" t="s">
        <v>66</v>
      </c>
      <c r="B382" t="s">
        <v>48</v>
      </c>
      <c r="C382">
        <v>6500</v>
      </c>
      <c r="D382" t="s">
        <v>56</v>
      </c>
      <c r="E382" t="s">
        <v>49</v>
      </c>
      <c r="F382" s="4">
        <v>44556.66</v>
      </c>
    </row>
    <row r="383" spans="1:6" hidden="1" x14ac:dyDescent="0.25">
      <c r="A383" t="s">
        <v>66</v>
      </c>
      <c r="B383" t="s">
        <v>48</v>
      </c>
      <c r="C383">
        <v>6510</v>
      </c>
      <c r="D383" t="s">
        <v>57</v>
      </c>
      <c r="E383" t="s">
        <v>49</v>
      </c>
      <c r="F383" s="4">
        <v>30509.66</v>
      </c>
    </row>
    <row r="384" spans="1:6" hidden="1" x14ac:dyDescent="0.25">
      <c r="A384" t="s">
        <v>66</v>
      </c>
      <c r="B384" t="s">
        <v>48</v>
      </c>
      <c r="C384">
        <v>6600</v>
      </c>
      <c r="D384" t="s">
        <v>58</v>
      </c>
      <c r="E384" t="s">
        <v>49</v>
      </c>
      <c r="F384" s="4">
        <v>312000</v>
      </c>
    </row>
    <row r="385" spans="1:6" hidden="1" x14ac:dyDescent="0.25">
      <c r="A385" t="s">
        <v>66</v>
      </c>
      <c r="B385" t="s">
        <v>48</v>
      </c>
      <c r="C385">
        <v>6700</v>
      </c>
      <c r="D385" t="s">
        <v>59</v>
      </c>
      <c r="E385" t="s">
        <v>49</v>
      </c>
      <c r="F385" s="4">
        <v>150000</v>
      </c>
    </row>
    <row r="386" spans="1:6" hidden="1" x14ac:dyDescent="0.25">
      <c r="A386" t="s">
        <v>67</v>
      </c>
      <c r="B386" t="s">
        <v>31</v>
      </c>
      <c r="C386">
        <v>4000</v>
      </c>
      <c r="D386" t="s">
        <v>32</v>
      </c>
      <c r="E386" t="s">
        <v>31</v>
      </c>
      <c r="F386" s="4">
        <v>10013483.33</v>
      </c>
    </row>
    <row r="387" spans="1:6" x14ac:dyDescent="0.25">
      <c r="A387" t="s">
        <v>67</v>
      </c>
      <c r="B387" t="s">
        <v>31</v>
      </c>
      <c r="C387">
        <v>4100</v>
      </c>
      <c r="D387" t="s">
        <v>33</v>
      </c>
      <c r="E387" t="s">
        <v>31</v>
      </c>
      <c r="F387" s="4">
        <v>561400</v>
      </c>
    </row>
    <row r="388" spans="1:6" hidden="1" x14ac:dyDescent="0.25">
      <c r="A388" t="s">
        <v>67</v>
      </c>
      <c r="B388" t="s">
        <v>34</v>
      </c>
      <c r="C388">
        <v>5000</v>
      </c>
      <c r="D388" t="s">
        <v>35</v>
      </c>
      <c r="E388" t="s">
        <v>34</v>
      </c>
      <c r="F388" s="4">
        <v>1123443.05</v>
      </c>
    </row>
    <row r="389" spans="1:6" hidden="1" x14ac:dyDescent="0.25">
      <c r="A389" t="s">
        <v>67</v>
      </c>
      <c r="B389" t="s">
        <v>34</v>
      </c>
      <c r="C389">
        <v>5300</v>
      </c>
      <c r="D389" t="s">
        <v>36</v>
      </c>
      <c r="E389" t="s">
        <v>34</v>
      </c>
      <c r="F389" s="4">
        <v>182464.7</v>
      </c>
    </row>
    <row r="390" spans="1:6" hidden="1" x14ac:dyDescent="0.25">
      <c r="A390" t="s">
        <v>67</v>
      </c>
      <c r="B390" t="s">
        <v>37</v>
      </c>
      <c r="C390">
        <v>6000</v>
      </c>
      <c r="D390" t="s">
        <v>38</v>
      </c>
      <c r="E390" t="s">
        <v>39</v>
      </c>
      <c r="F390" s="4">
        <v>872872.36</v>
      </c>
    </row>
    <row r="391" spans="1:6" hidden="1" x14ac:dyDescent="0.25">
      <c r="A391" t="s">
        <v>67</v>
      </c>
      <c r="B391" t="s">
        <v>37</v>
      </c>
      <c r="C391">
        <v>6010</v>
      </c>
      <c r="D391" t="s">
        <v>40</v>
      </c>
      <c r="E391" t="s">
        <v>39</v>
      </c>
      <c r="F391" s="4">
        <v>177461.53</v>
      </c>
    </row>
    <row r="392" spans="1:6" hidden="1" x14ac:dyDescent="0.25">
      <c r="A392" t="s">
        <v>67</v>
      </c>
      <c r="B392" t="s">
        <v>37</v>
      </c>
      <c r="C392">
        <v>6200</v>
      </c>
      <c r="D392" t="s">
        <v>41</v>
      </c>
      <c r="E392" t="s">
        <v>39</v>
      </c>
      <c r="F392" s="4">
        <v>25514.69</v>
      </c>
    </row>
    <row r="393" spans="1:6" hidden="1" x14ac:dyDescent="0.25">
      <c r="A393" t="s">
        <v>67</v>
      </c>
      <c r="B393" t="s">
        <v>37</v>
      </c>
      <c r="C393">
        <v>6300</v>
      </c>
      <c r="D393" t="s">
        <v>42</v>
      </c>
      <c r="E393" t="s">
        <v>39</v>
      </c>
      <c r="F393" s="4">
        <v>60428.58</v>
      </c>
    </row>
    <row r="394" spans="1:6" hidden="1" x14ac:dyDescent="0.25">
      <c r="A394" t="s">
        <v>67</v>
      </c>
      <c r="B394" t="s">
        <v>37</v>
      </c>
      <c r="C394">
        <v>6800</v>
      </c>
      <c r="D394" t="s">
        <v>43</v>
      </c>
      <c r="E394" t="s">
        <v>39</v>
      </c>
      <c r="F394" s="4">
        <v>8323.2800000000007</v>
      </c>
    </row>
    <row r="395" spans="1:6" hidden="1" x14ac:dyDescent="0.25">
      <c r="A395" t="s">
        <v>67</v>
      </c>
      <c r="B395" t="s">
        <v>44</v>
      </c>
      <c r="C395">
        <v>6000</v>
      </c>
      <c r="D395" t="s">
        <v>38</v>
      </c>
      <c r="E395" t="s">
        <v>39</v>
      </c>
      <c r="F395" s="4">
        <v>298785.36</v>
      </c>
    </row>
    <row r="396" spans="1:6" hidden="1" x14ac:dyDescent="0.25">
      <c r="A396" t="s">
        <v>67</v>
      </c>
      <c r="B396" t="s">
        <v>44</v>
      </c>
      <c r="C396">
        <v>6010</v>
      </c>
      <c r="D396" t="s">
        <v>40</v>
      </c>
      <c r="E396" t="s">
        <v>39</v>
      </c>
      <c r="F396" s="4">
        <v>60672.33</v>
      </c>
    </row>
    <row r="397" spans="1:6" hidden="1" x14ac:dyDescent="0.25">
      <c r="A397" t="s">
        <v>67</v>
      </c>
      <c r="B397" t="s">
        <v>44</v>
      </c>
      <c r="C397">
        <v>6200</v>
      </c>
      <c r="D397" t="s">
        <v>41</v>
      </c>
      <c r="E397" t="s">
        <v>39</v>
      </c>
      <c r="F397" s="4">
        <v>9208.1200000000008</v>
      </c>
    </row>
    <row r="398" spans="1:6" hidden="1" x14ac:dyDescent="0.25">
      <c r="A398" t="s">
        <v>67</v>
      </c>
      <c r="B398" t="s">
        <v>44</v>
      </c>
      <c r="C398">
        <v>6300</v>
      </c>
      <c r="D398" t="s">
        <v>42</v>
      </c>
      <c r="E398" t="s">
        <v>39</v>
      </c>
      <c r="F398" s="4">
        <v>8748.82</v>
      </c>
    </row>
    <row r="399" spans="1:6" hidden="1" x14ac:dyDescent="0.25">
      <c r="A399" t="s">
        <v>67</v>
      </c>
      <c r="B399" t="s">
        <v>44</v>
      </c>
      <c r="C399">
        <v>6800</v>
      </c>
      <c r="D399" t="s">
        <v>43</v>
      </c>
      <c r="E399" t="s">
        <v>39</v>
      </c>
      <c r="F399" s="4">
        <v>8797.3700000000008</v>
      </c>
    </row>
    <row r="400" spans="1:6" hidden="1" x14ac:dyDescent="0.25">
      <c r="A400" t="s">
        <v>67</v>
      </c>
      <c r="B400" t="s">
        <v>45</v>
      </c>
      <c r="C400">
        <v>6000</v>
      </c>
      <c r="D400" t="s">
        <v>38</v>
      </c>
      <c r="E400" t="s">
        <v>39</v>
      </c>
      <c r="F400" s="4">
        <v>308467.12</v>
      </c>
    </row>
    <row r="401" spans="1:6" hidden="1" x14ac:dyDescent="0.25">
      <c r="A401" t="s">
        <v>67</v>
      </c>
      <c r="B401" t="s">
        <v>45</v>
      </c>
      <c r="C401">
        <v>6010</v>
      </c>
      <c r="D401" t="s">
        <v>40</v>
      </c>
      <c r="E401" t="s">
        <v>39</v>
      </c>
      <c r="F401" s="4">
        <v>61910.69</v>
      </c>
    </row>
    <row r="402" spans="1:6" hidden="1" x14ac:dyDescent="0.25">
      <c r="A402" t="s">
        <v>67</v>
      </c>
      <c r="B402" t="s">
        <v>45</v>
      </c>
      <c r="C402">
        <v>6200</v>
      </c>
      <c r="D402" t="s">
        <v>41</v>
      </c>
      <c r="E402" t="s">
        <v>39</v>
      </c>
      <c r="F402" s="4">
        <v>9955.7000000000007</v>
      </c>
    </row>
    <row r="403" spans="1:6" hidden="1" x14ac:dyDescent="0.25">
      <c r="A403" t="s">
        <v>67</v>
      </c>
      <c r="B403" t="s">
        <v>45</v>
      </c>
      <c r="C403">
        <v>6300</v>
      </c>
      <c r="D403" t="s">
        <v>42</v>
      </c>
      <c r="E403" t="s">
        <v>39</v>
      </c>
      <c r="F403" s="4">
        <v>9371.33</v>
      </c>
    </row>
    <row r="404" spans="1:6" hidden="1" x14ac:dyDescent="0.25">
      <c r="A404" t="s">
        <v>67</v>
      </c>
      <c r="B404" t="s">
        <v>45</v>
      </c>
      <c r="C404">
        <v>6800</v>
      </c>
      <c r="D404" t="s">
        <v>43</v>
      </c>
      <c r="E404" t="s">
        <v>39</v>
      </c>
      <c r="F404" s="4">
        <v>3863.81</v>
      </c>
    </row>
    <row r="405" spans="1:6" hidden="1" x14ac:dyDescent="0.25">
      <c r="A405" t="s">
        <v>67</v>
      </c>
      <c r="B405" t="s">
        <v>46</v>
      </c>
      <c r="C405">
        <v>6000</v>
      </c>
      <c r="D405" t="s">
        <v>38</v>
      </c>
      <c r="E405" t="s">
        <v>47</v>
      </c>
      <c r="F405" s="4">
        <v>2206531.92</v>
      </c>
    </row>
    <row r="406" spans="1:6" hidden="1" x14ac:dyDescent="0.25">
      <c r="A406" t="s">
        <v>67</v>
      </c>
      <c r="B406" t="s">
        <v>46</v>
      </c>
      <c r="C406">
        <v>6010</v>
      </c>
      <c r="D406" t="s">
        <v>40</v>
      </c>
      <c r="E406" t="s">
        <v>47</v>
      </c>
      <c r="F406" s="4">
        <v>453533.47</v>
      </c>
    </row>
    <row r="407" spans="1:6" hidden="1" x14ac:dyDescent="0.25">
      <c r="A407" t="s">
        <v>67</v>
      </c>
      <c r="B407" t="s">
        <v>46</v>
      </c>
      <c r="C407">
        <v>6200</v>
      </c>
      <c r="D407" t="s">
        <v>41</v>
      </c>
      <c r="E407" t="s">
        <v>47</v>
      </c>
      <c r="F407" s="4">
        <v>38521.83</v>
      </c>
    </row>
    <row r="408" spans="1:6" hidden="1" x14ac:dyDescent="0.25">
      <c r="A408" t="s">
        <v>67</v>
      </c>
      <c r="B408" t="s">
        <v>46</v>
      </c>
      <c r="C408">
        <v>6300</v>
      </c>
      <c r="D408" t="s">
        <v>42</v>
      </c>
      <c r="E408" t="s">
        <v>47</v>
      </c>
      <c r="F408" s="4">
        <v>14659.37</v>
      </c>
    </row>
    <row r="409" spans="1:6" hidden="1" x14ac:dyDescent="0.25">
      <c r="A409" t="s">
        <v>67</v>
      </c>
      <c r="B409" t="s">
        <v>46</v>
      </c>
      <c r="C409">
        <v>6800</v>
      </c>
      <c r="D409" t="s">
        <v>43</v>
      </c>
      <c r="E409" t="s">
        <v>47</v>
      </c>
      <c r="F409" s="4">
        <v>80320.210000000006</v>
      </c>
    </row>
    <row r="410" spans="1:6" hidden="1" x14ac:dyDescent="0.25">
      <c r="A410" t="s">
        <v>67</v>
      </c>
      <c r="B410" t="s">
        <v>48</v>
      </c>
      <c r="C410">
        <v>6000</v>
      </c>
      <c r="D410" t="s">
        <v>38</v>
      </c>
      <c r="E410" t="s">
        <v>49</v>
      </c>
      <c r="F410" s="4">
        <v>489007.15</v>
      </c>
    </row>
    <row r="411" spans="1:6" hidden="1" x14ac:dyDescent="0.25">
      <c r="A411" t="s">
        <v>67</v>
      </c>
      <c r="B411" t="s">
        <v>48</v>
      </c>
      <c r="C411">
        <v>6010</v>
      </c>
      <c r="D411" t="s">
        <v>40</v>
      </c>
      <c r="E411" t="s">
        <v>49</v>
      </c>
      <c r="F411" s="4">
        <v>98915.7</v>
      </c>
    </row>
    <row r="412" spans="1:6" hidden="1" x14ac:dyDescent="0.25">
      <c r="A412" t="s">
        <v>67</v>
      </c>
      <c r="B412" t="s">
        <v>48</v>
      </c>
      <c r="C412">
        <v>6200</v>
      </c>
      <c r="D412" t="s">
        <v>41</v>
      </c>
      <c r="E412" t="s">
        <v>49</v>
      </c>
      <c r="F412" s="4">
        <v>12090.71</v>
      </c>
    </row>
    <row r="413" spans="1:6" hidden="1" x14ac:dyDescent="0.25">
      <c r="A413" t="s">
        <v>67</v>
      </c>
      <c r="B413" t="s">
        <v>48</v>
      </c>
      <c r="C413">
        <v>6300</v>
      </c>
      <c r="D413" t="s">
        <v>42</v>
      </c>
      <c r="E413" t="s">
        <v>49</v>
      </c>
      <c r="F413" s="4">
        <v>4436.42</v>
      </c>
    </row>
    <row r="414" spans="1:6" hidden="1" x14ac:dyDescent="0.25">
      <c r="A414" t="s">
        <v>67</v>
      </c>
      <c r="B414" t="s">
        <v>48</v>
      </c>
      <c r="C414">
        <v>6800</v>
      </c>
      <c r="D414" t="s">
        <v>43</v>
      </c>
      <c r="E414" t="s">
        <v>49</v>
      </c>
      <c r="F414" s="4">
        <v>8952.74</v>
      </c>
    </row>
    <row r="415" spans="1:6" hidden="1" x14ac:dyDescent="0.25">
      <c r="A415" t="s">
        <v>67</v>
      </c>
      <c r="B415" t="s">
        <v>50</v>
      </c>
      <c r="C415">
        <v>6000</v>
      </c>
      <c r="D415" t="s">
        <v>38</v>
      </c>
      <c r="E415" t="s">
        <v>34</v>
      </c>
      <c r="F415" s="4">
        <v>260609.88</v>
      </c>
    </row>
    <row r="416" spans="1:6" hidden="1" x14ac:dyDescent="0.25">
      <c r="A416" t="s">
        <v>67</v>
      </c>
      <c r="B416" t="s">
        <v>50</v>
      </c>
      <c r="C416">
        <v>6010</v>
      </c>
      <c r="D416" t="s">
        <v>40</v>
      </c>
      <c r="E416" t="s">
        <v>34</v>
      </c>
      <c r="F416" s="4">
        <v>55315.28</v>
      </c>
    </row>
    <row r="417" spans="1:6" hidden="1" x14ac:dyDescent="0.25">
      <c r="A417" t="s">
        <v>67</v>
      </c>
      <c r="B417" t="s">
        <v>50</v>
      </c>
      <c r="C417">
        <v>6200</v>
      </c>
      <c r="D417" t="s">
        <v>41</v>
      </c>
      <c r="E417" t="s">
        <v>34</v>
      </c>
      <c r="F417" s="4">
        <v>11101.4</v>
      </c>
    </row>
    <row r="418" spans="1:6" hidden="1" x14ac:dyDescent="0.25">
      <c r="A418" t="s">
        <v>67</v>
      </c>
      <c r="B418" t="s">
        <v>50</v>
      </c>
      <c r="C418">
        <v>6300</v>
      </c>
      <c r="D418" t="s">
        <v>42</v>
      </c>
      <c r="E418" t="s">
        <v>34</v>
      </c>
      <c r="F418" s="4">
        <v>4362.59</v>
      </c>
    </row>
    <row r="419" spans="1:6" hidden="1" x14ac:dyDescent="0.25">
      <c r="A419" t="s">
        <v>67</v>
      </c>
      <c r="B419" t="s">
        <v>50</v>
      </c>
      <c r="C419">
        <v>6800</v>
      </c>
      <c r="D419" t="s">
        <v>43</v>
      </c>
      <c r="E419" t="s">
        <v>34</v>
      </c>
      <c r="F419" s="4">
        <v>8861.99</v>
      </c>
    </row>
    <row r="420" spans="1:6" hidden="1" x14ac:dyDescent="0.25">
      <c r="A420" t="s">
        <v>67</v>
      </c>
      <c r="B420" t="s">
        <v>51</v>
      </c>
      <c r="C420">
        <v>6000</v>
      </c>
      <c r="D420" t="s">
        <v>38</v>
      </c>
      <c r="E420" t="s">
        <v>34</v>
      </c>
      <c r="F420" s="4">
        <v>333820.36</v>
      </c>
    </row>
    <row r="421" spans="1:6" hidden="1" x14ac:dyDescent="0.25">
      <c r="A421" t="s">
        <v>67</v>
      </c>
      <c r="B421" t="s">
        <v>51</v>
      </c>
      <c r="C421">
        <v>6010</v>
      </c>
      <c r="D421" t="s">
        <v>40</v>
      </c>
      <c r="E421" t="s">
        <v>34</v>
      </c>
      <c r="F421" s="4">
        <v>66989.460000000006</v>
      </c>
    </row>
    <row r="422" spans="1:6" hidden="1" x14ac:dyDescent="0.25">
      <c r="A422" t="s">
        <v>67</v>
      </c>
      <c r="B422" t="s">
        <v>51</v>
      </c>
      <c r="C422">
        <v>6200</v>
      </c>
      <c r="D422" t="s">
        <v>41</v>
      </c>
      <c r="E422" t="s">
        <v>34</v>
      </c>
      <c r="F422" s="4">
        <v>8322.5</v>
      </c>
    </row>
    <row r="423" spans="1:6" hidden="1" x14ac:dyDescent="0.25">
      <c r="A423" t="s">
        <v>67</v>
      </c>
      <c r="B423" t="s">
        <v>51</v>
      </c>
      <c r="C423">
        <v>6300</v>
      </c>
      <c r="D423" t="s">
        <v>42</v>
      </c>
      <c r="E423" t="s">
        <v>34</v>
      </c>
      <c r="F423" s="4">
        <v>18137.38</v>
      </c>
    </row>
    <row r="424" spans="1:6" hidden="1" x14ac:dyDescent="0.25">
      <c r="A424" t="s">
        <v>67</v>
      </c>
      <c r="B424" t="s">
        <v>51</v>
      </c>
      <c r="C424">
        <v>6800</v>
      </c>
      <c r="D424" t="s">
        <v>43</v>
      </c>
      <c r="E424" t="s">
        <v>34</v>
      </c>
      <c r="F424" s="4">
        <v>4062.08</v>
      </c>
    </row>
    <row r="425" spans="1:6" hidden="1" x14ac:dyDescent="0.25">
      <c r="A425" t="s">
        <v>67</v>
      </c>
      <c r="B425" t="s">
        <v>37</v>
      </c>
      <c r="C425">
        <v>6020</v>
      </c>
      <c r="D425" t="s">
        <v>52</v>
      </c>
      <c r="E425" t="s">
        <v>39</v>
      </c>
      <c r="F425" s="4">
        <v>606599.14</v>
      </c>
    </row>
    <row r="426" spans="1:6" hidden="1" x14ac:dyDescent="0.25">
      <c r="A426" t="s">
        <v>67</v>
      </c>
      <c r="B426" t="s">
        <v>46</v>
      </c>
      <c r="C426">
        <v>6100</v>
      </c>
      <c r="D426" t="s">
        <v>53</v>
      </c>
      <c r="E426" t="s">
        <v>47</v>
      </c>
      <c r="F426" s="4">
        <v>156020.43</v>
      </c>
    </row>
    <row r="427" spans="1:6" hidden="1" x14ac:dyDescent="0.25">
      <c r="A427" t="s">
        <v>67</v>
      </c>
      <c r="B427" t="s">
        <v>51</v>
      </c>
      <c r="C427">
        <v>6100</v>
      </c>
      <c r="D427" t="s">
        <v>53</v>
      </c>
      <c r="E427" t="s">
        <v>34</v>
      </c>
      <c r="F427" s="4">
        <v>55137.36</v>
      </c>
    </row>
    <row r="428" spans="1:6" hidden="1" x14ac:dyDescent="0.25">
      <c r="A428" t="s">
        <v>67</v>
      </c>
      <c r="B428" t="s">
        <v>44</v>
      </c>
      <c r="C428">
        <v>6400</v>
      </c>
      <c r="D428" t="s">
        <v>54</v>
      </c>
      <c r="E428" t="s">
        <v>39</v>
      </c>
      <c r="F428" s="4">
        <v>627638.94999999995</v>
      </c>
    </row>
    <row r="429" spans="1:6" hidden="1" x14ac:dyDescent="0.25">
      <c r="A429" t="s">
        <v>67</v>
      </c>
      <c r="B429" t="s">
        <v>44</v>
      </c>
      <c r="C429">
        <v>6410</v>
      </c>
      <c r="D429" t="s">
        <v>55</v>
      </c>
      <c r="E429" t="s">
        <v>39</v>
      </c>
      <c r="F429" s="4">
        <v>392700</v>
      </c>
    </row>
    <row r="430" spans="1:6" hidden="1" x14ac:dyDescent="0.25">
      <c r="A430" t="s">
        <v>67</v>
      </c>
      <c r="B430" t="s">
        <v>48</v>
      </c>
      <c r="C430">
        <v>6500</v>
      </c>
      <c r="D430" t="s">
        <v>56</v>
      </c>
      <c r="E430" t="s">
        <v>49</v>
      </c>
      <c r="F430" s="4">
        <v>213034.27</v>
      </c>
    </row>
    <row r="431" spans="1:6" hidden="1" x14ac:dyDescent="0.25">
      <c r="A431" t="s">
        <v>67</v>
      </c>
      <c r="B431" t="s">
        <v>48</v>
      </c>
      <c r="C431">
        <v>6510</v>
      </c>
      <c r="D431" t="s">
        <v>57</v>
      </c>
      <c r="E431" t="s">
        <v>49</v>
      </c>
      <c r="F431" s="4">
        <v>33120.68</v>
      </c>
    </row>
    <row r="432" spans="1:6" hidden="1" x14ac:dyDescent="0.25">
      <c r="A432" t="s">
        <v>67</v>
      </c>
      <c r="B432" t="s">
        <v>48</v>
      </c>
      <c r="C432">
        <v>6600</v>
      </c>
      <c r="D432" t="s">
        <v>58</v>
      </c>
      <c r="E432" t="s">
        <v>49</v>
      </c>
      <c r="F432" s="4">
        <v>312000</v>
      </c>
    </row>
    <row r="433" spans="1:6" hidden="1" x14ac:dyDescent="0.25">
      <c r="A433" t="s">
        <v>67</v>
      </c>
      <c r="B433" t="s">
        <v>48</v>
      </c>
      <c r="C433">
        <v>6700</v>
      </c>
      <c r="D433" t="s">
        <v>59</v>
      </c>
      <c r="E433" t="s">
        <v>49</v>
      </c>
      <c r="F433" s="4">
        <v>151500</v>
      </c>
    </row>
  </sheetData>
  <autoFilter ref="A1:F433" xr:uid="{00000000-0009-0000-0000-000001000000}">
    <filterColumn colId="3">
      <filters>
        <filter val="Professional Services Revenue"/>
      </filters>
    </filterColumn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F577"/>
  <sheetViews>
    <sheetView workbookViewId="0">
      <pane ySplit="1" topLeftCell="A3" activePane="bottomLeft" state="frozen"/>
      <selection pane="bottomLeft" activeCell="B602" sqref="B602"/>
    </sheetView>
  </sheetViews>
  <sheetFormatPr defaultRowHeight="15" x14ac:dyDescent="0.25"/>
  <cols>
    <col min="1" max="1" width="12" customWidth="1"/>
    <col min="2" max="2" width="22" customWidth="1"/>
    <col min="3" max="3" width="12" customWidth="1"/>
    <col min="4" max="4" width="30" customWidth="1"/>
    <col min="5" max="5" width="26" customWidth="1"/>
    <col min="6" max="6" width="16" customWidth="1"/>
  </cols>
  <sheetData>
    <row r="1" spans="1:6" x14ac:dyDescent="0.25">
      <c r="A1" s="3" t="s">
        <v>24</v>
      </c>
      <c r="B1" s="3" t="s">
        <v>25</v>
      </c>
      <c r="C1" s="3" t="s">
        <v>26</v>
      </c>
      <c r="D1" s="3" t="s">
        <v>27</v>
      </c>
      <c r="E1" s="3" t="s">
        <v>28</v>
      </c>
      <c r="F1" s="3" t="s">
        <v>29</v>
      </c>
    </row>
    <row r="2" spans="1:6" hidden="1" x14ac:dyDescent="0.25">
      <c r="A2" t="s">
        <v>30</v>
      </c>
      <c r="B2" t="s">
        <v>31</v>
      </c>
      <c r="C2">
        <v>4000</v>
      </c>
      <c r="D2" t="s">
        <v>32</v>
      </c>
      <c r="E2" t="s">
        <v>31</v>
      </c>
      <c r="F2" s="4">
        <v>9013320</v>
      </c>
    </row>
    <row r="3" spans="1:6" x14ac:dyDescent="0.25">
      <c r="A3" t="s">
        <v>30</v>
      </c>
      <c r="B3" t="s">
        <v>31</v>
      </c>
      <c r="C3">
        <v>4100</v>
      </c>
      <c r="D3" t="s">
        <v>33</v>
      </c>
      <c r="E3" t="s">
        <v>31</v>
      </c>
      <c r="F3" s="4">
        <v>700000</v>
      </c>
    </row>
    <row r="4" spans="1:6" hidden="1" x14ac:dyDescent="0.25">
      <c r="A4" t="s">
        <v>30</v>
      </c>
      <c r="B4" t="s">
        <v>34</v>
      </c>
      <c r="C4">
        <v>5000</v>
      </c>
      <c r="D4" t="s">
        <v>35</v>
      </c>
      <c r="E4" t="s">
        <v>34</v>
      </c>
      <c r="F4" s="4">
        <v>856265.4</v>
      </c>
    </row>
    <row r="5" spans="1:6" hidden="1" x14ac:dyDescent="0.25">
      <c r="A5" t="s">
        <v>30</v>
      </c>
      <c r="B5" t="s">
        <v>34</v>
      </c>
      <c r="C5">
        <v>5300</v>
      </c>
      <c r="D5" t="s">
        <v>36</v>
      </c>
      <c r="E5" t="s">
        <v>34</v>
      </c>
      <c r="F5" s="4">
        <v>167000</v>
      </c>
    </row>
    <row r="6" spans="1:6" hidden="1" x14ac:dyDescent="0.25">
      <c r="A6" t="s">
        <v>30</v>
      </c>
      <c r="B6" t="s">
        <v>37</v>
      </c>
      <c r="C6">
        <v>6000</v>
      </c>
      <c r="D6" t="s">
        <v>38</v>
      </c>
      <c r="E6" t="s">
        <v>39</v>
      </c>
      <c r="F6" s="4">
        <v>763833.33</v>
      </c>
    </row>
    <row r="7" spans="1:6" hidden="1" x14ac:dyDescent="0.25">
      <c r="A7" t="s">
        <v>30</v>
      </c>
      <c r="B7" t="s">
        <v>37</v>
      </c>
      <c r="C7">
        <v>6010</v>
      </c>
      <c r="D7" t="s">
        <v>40</v>
      </c>
      <c r="E7" t="s">
        <v>39</v>
      </c>
      <c r="F7" s="4">
        <v>187139.17</v>
      </c>
    </row>
    <row r="8" spans="1:6" hidden="1" x14ac:dyDescent="0.25">
      <c r="A8" t="s">
        <v>30</v>
      </c>
      <c r="B8" t="s">
        <v>37</v>
      </c>
      <c r="C8">
        <v>6200</v>
      </c>
      <c r="D8" t="s">
        <v>41</v>
      </c>
      <c r="E8" t="s">
        <v>39</v>
      </c>
      <c r="F8" s="4">
        <v>24180</v>
      </c>
    </row>
    <row r="9" spans="1:6" hidden="1" x14ac:dyDescent="0.25">
      <c r="A9" t="s">
        <v>30</v>
      </c>
      <c r="B9" t="s">
        <v>37</v>
      </c>
      <c r="C9">
        <v>6300</v>
      </c>
      <c r="D9" t="s">
        <v>42</v>
      </c>
      <c r="E9" t="s">
        <v>39</v>
      </c>
      <c r="F9" s="4">
        <v>57660</v>
      </c>
    </row>
    <row r="10" spans="1:6" hidden="1" x14ac:dyDescent="0.25">
      <c r="A10" t="s">
        <v>30</v>
      </c>
      <c r="B10" t="s">
        <v>37</v>
      </c>
      <c r="C10">
        <v>6800</v>
      </c>
      <c r="D10" t="s">
        <v>43</v>
      </c>
      <c r="E10" t="s">
        <v>39</v>
      </c>
      <c r="F10" s="4">
        <v>17500</v>
      </c>
    </row>
    <row r="11" spans="1:6" hidden="1" x14ac:dyDescent="0.25">
      <c r="A11" t="s">
        <v>30</v>
      </c>
      <c r="B11" t="s">
        <v>44</v>
      </c>
      <c r="C11">
        <v>6000</v>
      </c>
      <c r="D11" t="s">
        <v>38</v>
      </c>
      <c r="E11" t="s">
        <v>39</v>
      </c>
      <c r="F11" s="4">
        <v>268541.67</v>
      </c>
    </row>
    <row r="12" spans="1:6" hidden="1" x14ac:dyDescent="0.25">
      <c r="A12" t="s">
        <v>30</v>
      </c>
      <c r="B12" t="s">
        <v>44</v>
      </c>
      <c r="C12">
        <v>6010</v>
      </c>
      <c r="D12" t="s">
        <v>40</v>
      </c>
      <c r="E12" t="s">
        <v>39</v>
      </c>
      <c r="F12" s="4">
        <v>65792.710000000006</v>
      </c>
    </row>
    <row r="13" spans="1:6" hidden="1" x14ac:dyDescent="0.25">
      <c r="A13" t="s">
        <v>30</v>
      </c>
      <c r="B13" t="s">
        <v>44</v>
      </c>
      <c r="C13">
        <v>6200</v>
      </c>
      <c r="D13" t="s">
        <v>41</v>
      </c>
      <c r="E13" t="s">
        <v>39</v>
      </c>
      <c r="F13" s="4">
        <v>7540</v>
      </c>
    </row>
    <row r="14" spans="1:6" hidden="1" x14ac:dyDescent="0.25">
      <c r="A14" t="s">
        <v>30</v>
      </c>
      <c r="B14" t="s">
        <v>44</v>
      </c>
      <c r="C14">
        <v>6300</v>
      </c>
      <c r="D14" t="s">
        <v>42</v>
      </c>
      <c r="E14" t="s">
        <v>39</v>
      </c>
      <c r="F14" s="4">
        <v>8700</v>
      </c>
    </row>
    <row r="15" spans="1:6" hidden="1" x14ac:dyDescent="0.25">
      <c r="A15" t="s">
        <v>30</v>
      </c>
      <c r="B15" t="s">
        <v>44</v>
      </c>
      <c r="C15">
        <v>6800</v>
      </c>
      <c r="D15" t="s">
        <v>43</v>
      </c>
      <c r="E15" t="s">
        <v>39</v>
      </c>
      <c r="F15" s="4">
        <v>8500</v>
      </c>
    </row>
    <row r="16" spans="1:6" hidden="1" x14ac:dyDescent="0.25">
      <c r="A16" t="s">
        <v>30</v>
      </c>
      <c r="B16" t="s">
        <v>45</v>
      </c>
      <c r="C16">
        <v>6000</v>
      </c>
      <c r="D16" t="s">
        <v>38</v>
      </c>
      <c r="E16" t="s">
        <v>39</v>
      </c>
      <c r="F16" s="4">
        <v>284875</v>
      </c>
    </row>
    <row r="17" spans="1:6" hidden="1" x14ac:dyDescent="0.25">
      <c r="A17" t="s">
        <v>30</v>
      </c>
      <c r="B17" t="s">
        <v>45</v>
      </c>
      <c r="C17">
        <v>6010</v>
      </c>
      <c r="D17" t="s">
        <v>40</v>
      </c>
      <c r="E17" t="s">
        <v>39</v>
      </c>
      <c r="F17" s="4">
        <v>69794.38</v>
      </c>
    </row>
    <row r="18" spans="1:6" hidden="1" x14ac:dyDescent="0.25">
      <c r="A18" t="s">
        <v>30</v>
      </c>
      <c r="B18" t="s">
        <v>45</v>
      </c>
      <c r="C18">
        <v>6200</v>
      </c>
      <c r="D18" t="s">
        <v>41</v>
      </c>
      <c r="E18" t="s">
        <v>39</v>
      </c>
      <c r="F18" s="4">
        <v>9620</v>
      </c>
    </row>
    <row r="19" spans="1:6" hidden="1" x14ac:dyDescent="0.25">
      <c r="A19" t="s">
        <v>30</v>
      </c>
      <c r="B19" t="s">
        <v>45</v>
      </c>
      <c r="C19">
        <v>6300</v>
      </c>
      <c r="D19" t="s">
        <v>42</v>
      </c>
      <c r="E19" t="s">
        <v>39</v>
      </c>
      <c r="F19" s="4">
        <v>9620</v>
      </c>
    </row>
    <row r="20" spans="1:6" hidden="1" x14ac:dyDescent="0.25">
      <c r="A20" t="s">
        <v>30</v>
      </c>
      <c r="B20" t="s">
        <v>45</v>
      </c>
      <c r="C20">
        <v>6800</v>
      </c>
      <c r="D20" t="s">
        <v>43</v>
      </c>
      <c r="E20" t="s">
        <v>39</v>
      </c>
      <c r="F20" s="4">
        <v>8500</v>
      </c>
    </row>
    <row r="21" spans="1:6" hidden="1" x14ac:dyDescent="0.25">
      <c r="A21" t="s">
        <v>30</v>
      </c>
      <c r="B21" t="s">
        <v>46</v>
      </c>
      <c r="C21">
        <v>6000</v>
      </c>
      <c r="D21" t="s">
        <v>38</v>
      </c>
      <c r="E21" t="s">
        <v>47</v>
      </c>
      <c r="F21" s="4">
        <v>2094250</v>
      </c>
    </row>
    <row r="22" spans="1:6" hidden="1" x14ac:dyDescent="0.25">
      <c r="A22" t="s">
        <v>30</v>
      </c>
      <c r="B22" t="s">
        <v>46</v>
      </c>
      <c r="C22">
        <v>6010</v>
      </c>
      <c r="D22" t="s">
        <v>40</v>
      </c>
      <c r="E22" t="s">
        <v>47</v>
      </c>
      <c r="F22" s="4">
        <v>513091.25</v>
      </c>
    </row>
    <row r="23" spans="1:6" hidden="1" x14ac:dyDescent="0.25">
      <c r="A23" t="s">
        <v>30</v>
      </c>
      <c r="B23" t="s">
        <v>46</v>
      </c>
      <c r="C23">
        <v>6200</v>
      </c>
      <c r="D23" t="s">
        <v>41</v>
      </c>
      <c r="E23" t="s">
        <v>47</v>
      </c>
      <c r="F23" s="4">
        <v>39520</v>
      </c>
    </row>
    <row r="24" spans="1:6" hidden="1" x14ac:dyDescent="0.25">
      <c r="A24" t="s">
        <v>30</v>
      </c>
      <c r="B24" t="s">
        <v>46</v>
      </c>
      <c r="C24">
        <v>6300</v>
      </c>
      <c r="D24" t="s">
        <v>42</v>
      </c>
      <c r="E24" t="s">
        <v>47</v>
      </c>
      <c r="F24" s="4">
        <v>13680</v>
      </c>
    </row>
    <row r="25" spans="1:6" hidden="1" x14ac:dyDescent="0.25">
      <c r="A25" t="s">
        <v>30</v>
      </c>
      <c r="B25" t="s">
        <v>46</v>
      </c>
      <c r="C25">
        <v>6800</v>
      </c>
      <c r="D25" t="s">
        <v>43</v>
      </c>
      <c r="E25" t="s">
        <v>47</v>
      </c>
      <c r="F25" s="4">
        <v>22000</v>
      </c>
    </row>
    <row r="26" spans="1:6" hidden="1" x14ac:dyDescent="0.25">
      <c r="A26" t="s">
        <v>30</v>
      </c>
      <c r="B26" t="s">
        <v>48</v>
      </c>
      <c r="C26">
        <v>6000</v>
      </c>
      <c r="D26" t="s">
        <v>38</v>
      </c>
      <c r="E26" t="s">
        <v>49</v>
      </c>
      <c r="F26" s="4">
        <v>449750</v>
      </c>
    </row>
    <row r="27" spans="1:6" hidden="1" x14ac:dyDescent="0.25">
      <c r="A27" t="s">
        <v>30</v>
      </c>
      <c r="B27" t="s">
        <v>48</v>
      </c>
      <c r="C27">
        <v>6010</v>
      </c>
      <c r="D27" t="s">
        <v>40</v>
      </c>
      <c r="E27" t="s">
        <v>49</v>
      </c>
      <c r="F27" s="4">
        <v>110188.75</v>
      </c>
    </row>
    <row r="28" spans="1:6" hidden="1" x14ac:dyDescent="0.25">
      <c r="A28" t="s">
        <v>30</v>
      </c>
      <c r="B28" t="s">
        <v>48</v>
      </c>
      <c r="C28">
        <v>6200</v>
      </c>
      <c r="D28" t="s">
        <v>41</v>
      </c>
      <c r="E28" t="s">
        <v>49</v>
      </c>
      <c r="F28" s="4">
        <v>10920</v>
      </c>
    </row>
    <row r="29" spans="1:6" hidden="1" x14ac:dyDescent="0.25">
      <c r="A29" t="s">
        <v>30</v>
      </c>
      <c r="B29" t="s">
        <v>48</v>
      </c>
      <c r="C29">
        <v>6300</v>
      </c>
      <c r="D29" t="s">
        <v>42</v>
      </c>
      <c r="E29" t="s">
        <v>49</v>
      </c>
      <c r="F29" s="4">
        <v>3780</v>
      </c>
    </row>
    <row r="30" spans="1:6" hidden="1" x14ac:dyDescent="0.25">
      <c r="A30" t="s">
        <v>30</v>
      </c>
      <c r="B30" t="s">
        <v>48</v>
      </c>
      <c r="C30">
        <v>6800</v>
      </c>
      <c r="D30" t="s">
        <v>43</v>
      </c>
      <c r="E30" t="s">
        <v>49</v>
      </c>
      <c r="F30" s="4">
        <v>8500</v>
      </c>
    </row>
    <row r="31" spans="1:6" hidden="1" x14ac:dyDescent="0.25">
      <c r="A31" t="s">
        <v>30</v>
      </c>
      <c r="B31" t="s">
        <v>50</v>
      </c>
      <c r="C31">
        <v>6000</v>
      </c>
      <c r="D31" t="s">
        <v>38</v>
      </c>
      <c r="E31" t="s">
        <v>34</v>
      </c>
      <c r="F31" s="4">
        <v>248166.67</v>
      </c>
    </row>
    <row r="32" spans="1:6" hidden="1" x14ac:dyDescent="0.25">
      <c r="A32" t="s">
        <v>30</v>
      </c>
      <c r="B32" t="s">
        <v>50</v>
      </c>
      <c r="C32">
        <v>6010</v>
      </c>
      <c r="D32" t="s">
        <v>40</v>
      </c>
      <c r="E32" t="s">
        <v>34</v>
      </c>
      <c r="F32" s="4">
        <v>60800.83</v>
      </c>
    </row>
    <row r="33" spans="1:6" hidden="1" x14ac:dyDescent="0.25">
      <c r="A33" t="s">
        <v>30</v>
      </c>
      <c r="B33" t="s">
        <v>50</v>
      </c>
      <c r="C33">
        <v>6200</v>
      </c>
      <c r="D33" t="s">
        <v>41</v>
      </c>
      <c r="E33" t="s">
        <v>34</v>
      </c>
      <c r="F33" s="4">
        <v>10660</v>
      </c>
    </row>
    <row r="34" spans="1:6" hidden="1" x14ac:dyDescent="0.25">
      <c r="A34" t="s">
        <v>30</v>
      </c>
      <c r="B34" t="s">
        <v>50</v>
      </c>
      <c r="C34">
        <v>6300</v>
      </c>
      <c r="D34" t="s">
        <v>42</v>
      </c>
      <c r="E34" t="s">
        <v>34</v>
      </c>
      <c r="F34" s="4">
        <v>3690</v>
      </c>
    </row>
    <row r="35" spans="1:6" hidden="1" x14ac:dyDescent="0.25">
      <c r="A35" t="s">
        <v>30</v>
      </c>
      <c r="B35" t="s">
        <v>50</v>
      </c>
      <c r="C35">
        <v>6800</v>
      </c>
      <c r="D35" t="s">
        <v>43</v>
      </c>
      <c r="E35" t="s">
        <v>34</v>
      </c>
      <c r="F35" s="4">
        <v>13000</v>
      </c>
    </row>
    <row r="36" spans="1:6" hidden="1" x14ac:dyDescent="0.25">
      <c r="A36" t="s">
        <v>30</v>
      </c>
      <c r="B36" t="s">
        <v>51</v>
      </c>
      <c r="C36">
        <v>6000</v>
      </c>
      <c r="D36" t="s">
        <v>38</v>
      </c>
      <c r="E36" t="s">
        <v>34</v>
      </c>
      <c r="F36" s="4">
        <v>285333.33</v>
      </c>
    </row>
    <row r="37" spans="1:6" hidden="1" x14ac:dyDescent="0.25">
      <c r="A37" t="s">
        <v>30</v>
      </c>
      <c r="B37" t="s">
        <v>51</v>
      </c>
      <c r="C37">
        <v>6010</v>
      </c>
      <c r="D37" t="s">
        <v>40</v>
      </c>
      <c r="E37" t="s">
        <v>34</v>
      </c>
      <c r="F37" s="4">
        <v>69906.67</v>
      </c>
    </row>
    <row r="38" spans="1:6" hidden="1" x14ac:dyDescent="0.25">
      <c r="A38" t="s">
        <v>30</v>
      </c>
      <c r="B38" t="s">
        <v>51</v>
      </c>
      <c r="C38">
        <v>6200</v>
      </c>
      <c r="D38" t="s">
        <v>41</v>
      </c>
      <c r="E38" t="s">
        <v>34</v>
      </c>
      <c r="F38" s="4">
        <v>7280</v>
      </c>
    </row>
    <row r="39" spans="1:6" hidden="1" x14ac:dyDescent="0.25">
      <c r="A39" t="s">
        <v>30</v>
      </c>
      <c r="B39" t="s">
        <v>51</v>
      </c>
      <c r="C39">
        <v>6300</v>
      </c>
      <c r="D39" t="s">
        <v>42</v>
      </c>
      <c r="E39" t="s">
        <v>34</v>
      </c>
      <c r="F39" s="4">
        <v>15120</v>
      </c>
    </row>
    <row r="40" spans="1:6" hidden="1" x14ac:dyDescent="0.25">
      <c r="A40" t="s">
        <v>30</v>
      </c>
      <c r="B40" t="s">
        <v>51</v>
      </c>
      <c r="C40">
        <v>6800</v>
      </c>
      <c r="D40" t="s">
        <v>43</v>
      </c>
      <c r="E40" t="s">
        <v>34</v>
      </c>
      <c r="F40" s="4">
        <v>8500</v>
      </c>
    </row>
    <row r="41" spans="1:6" hidden="1" x14ac:dyDescent="0.25">
      <c r="A41" t="s">
        <v>30</v>
      </c>
      <c r="B41" t="s">
        <v>37</v>
      </c>
      <c r="C41">
        <v>6020</v>
      </c>
      <c r="D41" t="s">
        <v>52</v>
      </c>
      <c r="E41" t="s">
        <v>39</v>
      </c>
      <c r="F41" s="4">
        <v>134164.79999999999</v>
      </c>
    </row>
    <row r="42" spans="1:6" hidden="1" x14ac:dyDescent="0.25">
      <c r="A42" t="s">
        <v>30</v>
      </c>
      <c r="B42" t="s">
        <v>46</v>
      </c>
      <c r="C42">
        <v>6100</v>
      </c>
      <c r="D42" t="s">
        <v>53</v>
      </c>
      <c r="E42" t="s">
        <v>47</v>
      </c>
      <c r="F42" s="4">
        <v>120000</v>
      </c>
    </row>
    <row r="43" spans="1:6" hidden="1" x14ac:dyDescent="0.25">
      <c r="A43" t="s">
        <v>30</v>
      </c>
      <c r="B43" t="s">
        <v>51</v>
      </c>
      <c r="C43">
        <v>6100</v>
      </c>
      <c r="D43" t="s">
        <v>53</v>
      </c>
      <c r="E43" t="s">
        <v>34</v>
      </c>
      <c r="F43" s="4">
        <v>55000</v>
      </c>
    </row>
    <row r="44" spans="1:6" hidden="1" x14ac:dyDescent="0.25">
      <c r="A44" t="s">
        <v>30</v>
      </c>
      <c r="B44" t="s">
        <v>44</v>
      </c>
      <c r="C44">
        <v>6400</v>
      </c>
      <c r="D44" t="s">
        <v>54</v>
      </c>
      <c r="E44" t="s">
        <v>39</v>
      </c>
      <c r="F44" s="4">
        <v>540000</v>
      </c>
    </row>
    <row r="45" spans="1:6" hidden="1" x14ac:dyDescent="0.25">
      <c r="A45" t="s">
        <v>30</v>
      </c>
      <c r="B45" t="s">
        <v>44</v>
      </c>
      <c r="C45">
        <v>6410</v>
      </c>
      <c r="D45" t="s">
        <v>55</v>
      </c>
      <c r="E45" t="s">
        <v>39</v>
      </c>
      <c r="F45" s="4">
        <v>55000</v>
      </c>
    </row>
    <row r="46" spans="1:6" hidden="1" x14ac:dyDescent="0.25">
      <c r="A46" t="s">
        <v>30</v>
      </c>
      <c r="B46" t="s">
        <v>48</v>
      </c>
      <c r="C46">
        <v>6500</v>
      </c>
      <c r="D46" t="s">
        <v>56</v>
      </c>
      <c r="E46" t="s">
        <v>49</v>
      </c>
      <c r="F46" s="4">
        <v>45000</v>
      </c>
    </row>
    <row r="47" spans="1:6" hidden="1" x14ac:dyDescent="0.25">
      <c r="A47" t="s">
        <v>30</v>
      </c>
      <c r="B47" t="s">
        <v>48</v>
      </c>
      <c r="C47">
        <v>6510</v>
      </c>
      <c r="D47" t="s">
        <v>57</v>
      </c>
      <c r="E47" t="s">
        <v>49</v>
      </c>
      <c r="F47" s="4">
        <v>95000</v>
      </c>
    </row>
    <row r="48" spans="1:6" hidden="1" x14ac:dyDescent="0.25">
      <c r="A48" t="s">
        <v>30</v>
      </c>
      <c r="B48" t="s">
        <v>48</v>
      </c>
      <c r="C48">
        <v>6600</v>
      </c>
      <c r="D48" t="s">
        <v>58</v>
      </c>
      <c r="E48" t="s">
        <v>49</v>
      </c>
      <c r="F48" s="4">
        <v>312000</v>
      </c>
    </row>
    <row r="49" spans="1:6" hidden="1" x14ac:dyDescent="0.25">
      <c r="A49" t="s">
        <v>30</v>
      </c>
      <c r="B49" t="s">
        <v>48</v>
      </c>
      <c r="C49">
        <v>6700</v>
      </c>
      <c r="D49" t="s">
        <v>59</v>
      </c>
      <c r="E49" t="s">
        <v>49</v>
      </c>
      <c r="F49" s="4">
        <v>139500</v>
      </c>
    </row>
    <row r="50" spans="1:6" hidden="1" x14ac:dyDescent="0.25">
      <c r="A50" t="s">
        <v>60</v>
      </c>
      <c r="B50" t="s">
        <v>31</v>
      </c>
      <c r="C50">
        <v>4000</v>
      </c>
      <c r="D50" t="s">
        <v>32</v>
      </c>
      <c r="E50" t="s">
        <v>31</v>
      </c>
      <c r="F50" s="4">
        <v>9095940</v>
      </c>
    </row>
    <row r="51" spans="1:6" x14ac:dyDescent="0.25">
      <c r="A51" t="s">
        <v>60</v>
      </c>
      <c r="B51" t="s">
        <v>31</v>
      </c>
      <c r="C51">
        <v>4100</v>
      </c>
      <c r="D51" t="s">
        <v>33</v>
      </c>
      <c r="E51" t="s">
        <v>31</v>
      </c>
      <c r="F51" s="4">
        <v>720000</v>
      </c>
    </row>
    <row r="52" spans="1:6" hidden="1" x14ac:dyDescent="0.25">
      <c r="A52" t="s">
        <v>60</v>
      </c>
      <c r="B52" t="s">
        <v>34</v>
      </c>
      <c r="C52">
        <v>5000</v>
      </c>
      <c r="D52" t="s">
        <v>35</v>
      </c>
      <c r="E52" t="s">
        <v>34</v>
      </c>
      <c r="F52" s="4">
        <v>864114.3</v>
      </c>
    </row>
    <row r="53" spans="1:6" hidden="1" x14ac:dyDescent="0.25">
      <c r="A53" t="s">
        <v>60</v>
      </c>
      <c r="B53" t="s">
        <v>34</v>
      </c>
      <c r="C53">
        <v>5300</v>
      </c>
      <c r="D53" t="s">
        <v>36</v>
      </c>
      <c r="E53" t="s">
        <v>34</v>
      </c>
      <c r="F53" s="4">
        <v>169000</v>
      </c>
    </row>
    <row r="54" spans="1:6" hidden="1" x14ac:dyDescent="0.25">
      <c r="A54" t="s">
        <v>60</v>
      </c>
      <c r="B54" t="s">
        <v>37</v>
      </c>
      <c r="C54">
        <v>6000</v>
      </c>
      <c r="D54" t="s">
        <v>38</v>
      </c>
      <c r="E54" t="s">
        <v>39</v>
      </c>
      <c r="F54" s="4">
        <v>780916.67</v>
      </c>
    </row>
    <row r="55" spans="1:6" hidden="1" x14ac:dyDescent="0.25">
      <c r="A55" t="s">
        <v>60</v>
      </c>
      <c r="B55" t="s">
        <v>37</v>
      </c>
      <c r="C55">
        <v>6010</v>
      </c>
      <c r="D55" t="s">
        <v>40</v>
      </c>
      <c r="E55" t="s">
        <v>39</v>
      </c>
      <c r="F55" s="4">
        <v>191324.58</v>
      </c>
    </row>
    <row r="56" spans="1:6" hidden="1" x14ac:dyDescent="0.25">
      <c r="A56" t="s">
        <v>60</v>
      </c>
      <c r="B56" t="s">
        <v>37</v>
      </c>
      <c r="C56">
        <v>6200</v>
      </c>
      <c r="D56" t="s">
        <v>41</v>
      </c>
      <c r="E56" t="s">
        <v>39</v>
      </c>
      <c r="F56" s="4">
        <v>24700</v>
      </c>
    </row>
    <row r="57" spans="1:6" hidden="1" x14ac:dyDescent="0.25">
      <c r="A57" t="s">
        <v>60</v>
      </c>
      <c r="B57" t="s">
        <v>37</v>
      </c>
      <c r="C57">
        <v>6300</v>
      </c>
      <c r="D57" t="s">
        <v>42</v>
      </c>
      <c r="E57" t="s">
        <v>39</v>
      </c>
      <c r="F57" s="4">
        <v>58900</v>
      </c>
    </row>
    <row r="58" spans="1:6" hidden="1" x14ac:dyDescent="0.25">
      <c r="A58" t="s">
        <v>60</v>
      </c>
      <c r="B58" t="s">
        <v>37</v>
      </c>
      <c r="C58">
        <v>6800</v>
      </c>
      <c r="D58" t="s">
        <v>43</v>
      </c>
      <c r="E58" t="s">
        <v>39</v>
      </c>
      <c r="F58" s="4">
        <v>22000</v>
      </c>
    </row>
    <row r="59" spans="1:6" hidden="1" x14ac:dyDescent="0.25">
      <c r="A59" t="s">
        <v>60</v>
      </c>
      <c r="B59" t="s">
        <v>44</v>
      </c>
      <c r="C59">
        <v>6000</v>
      </c>
      <c r="D59" t="s">
        <v>38</v>
      </c>
      <c r="E59" t="s">
        <v>39</v>
      </c>
      <c r="F59" s="4">
        <v>268541.67</v>
      </c>
    </row>
    <row r="60" spans="1:6" hidden="1" x14ac:dyDescent="0.25">
      <c r="A60" t="s">
        <v>60</v>
      </c>
      <c r="B60" t="s">
        <v>44</v>
      </c>
      <c r="C60">
        <v>6010</v>
      </c>
      <c r="D60" t="s">
        <v>40</v>
      </c>
      <c r="E60" t="s">
        <v>39</v>
      </c>
      <c r="F60" s="4">
        <v>65792.710000000006</v>
      </c>
    </row>
    <row r="61" spans="1:6" hidden="1" x14ac:dyDescent="0.25">
      <c r="A61" t="s">
        <v>60</v>
      </c>
      <c r="B61" t="s">
        <v>44</v>
      </c>
      <c r="C61">
        <v>6200</v>
      </c>
      <c r="D61" t="s">
        <v>41</v>
      </c>
      <c r="E61" t="s">
        <v>39</v>
      </c>
      <c r="F61" s="4">
        <v>7540</v>
      </c>
    </row>
    <row r="62" spans="1:6" hidden="1" x14ac:dyDescent="0.25">
      <c r="A62" t="s">
        <v>60</v>
      </c>
      <c r="B62" t="s">
        <v>44</v>
      </c>
      <c r="C62">
        <v>6300</v>
      </c>
      <c r="D62" t="s">
        <v>42</v>
      </c>
      <c r="E62" t="s">
        <v>39</v>
      </c>
      <c r="F62" s="4">
        <v>8700</v>
      </c>
    </row>
    <row r="63" spans="1:6" hidden="1" x14ac:dyDescent="0.25">
      <c r="A63" t="s">
        <v>60</v>
      </c>
      <c r="B63" t="s">
        <v>44</v>
      </c>
      <c r="C63">
        <v>6800</v>
      </c>
      <c r="D63" t="s">
        <v>43</v>
      </c>
      <c r="E63" t="s">
        <v>39</v>
      </c>
      <c r="F63" s="4">
        <v>8500</v>
      </c>
    </row>
    <row r="64" spans="1:6" hidden="1" x14ac:dyDescent="0.25">
      <c r="A64" t="s">
        <v>60</v>
      </c>
      <c r="B64" t="s">
        <v>45</v>
      </c>
      <c r="C64">
        <v>6000</v>
      </c>
      <c r="D64" t="s">
        <v>38</v>
      </c>
      <c r="E64" t="s">
        <v>39</v>
      </c>
      <c r="F64" s="4">
        <v>284875</v>
      </c>
    </row>
    <row r="65" spans="1:6" hidden="1" x14ac:dyDescent="0.25">
      <c r="A65" t="s">
        <v>60</v>
      </c>
      <c r="B65" t="s">
        <v>45</v>
      </c>
      <c r="C65">
        <v>6010</v>
      </c>
      <c r="D65" t="s">
        <v>40</v>
      </c>
      <c r="E65" t="s">
        <v>39</v>
      </c>
      <c r="F65" s="4">
        <v>69794.38</v>
      </c>
    </row>
    <row r="66" spans="1:6" hidden="1" x14ac:dyDescent="0.25">
      <c r="A66" t="s">
        <v>60</v>
      </c>
      <c r="B66" t="s">
        <v>45</v>
      </c>
      <c r="C66">
        <v>6200</v>
      </c>
      <c r="D66" t="s">
        <v>41</v>
      </c>
      <c r="E66" t="s">
        <v>39</v>
      </c>
      <c r="F66" s="4">
        <v>9620</v>
      </c>
    </row>
    <row r="67" spans="1:6" hidden="1" x14ac:dyDescent="0.25">
      <c r="A67" t="s">
        <v>60</v>
      </c>
      <c r="B67" t="s">
        <v>45</v>
      </c>
      <c r="C67">
        <v>6300</v>
      </c>
      <c r="D67" t="s">
        <v>42</v>
      </c>
      <c r="E67" t="s">
        <v>39</v>
      </c>
      <c r="F67" s="4">
        <v>9620</v>
      </c>
    </row>
    <row r="68" spans="1:6" hidden="1" x14ac:dyDescent="0.25">
      <c r="A68" t="s">
        <v>60</v>
      </c>
      <c r="B68" t="s">
        <v>45</v>
      </c>
      <c r="C68">
        <v>6800</v>
      </c>
      <c r="D68" t="s">
        <v>43</v>
      </c>
      <c r="E68" t="s">
        <v>39</v>
      </c>
      <c r="F68" s="4">
        <v>8500</v>
      </c>
    </row>
    <row r="69" spans="1:6" hidden="1" x14ac:dyDescent="0.25">
      <c r="A69" t="s">
        <v>60</v>
      </c>
      <c r="B69" t="s">
        <v>46</v>
      </c>
      <c r="C69">
        <v>6000</v>
      </c>
      <c r="D69" t="s">
        <v>38</v>
      </c>
      <c r="E69" t="s">
        <v>47</v>
      </c>
      <c r="F69" s="4">
        <v>2128458.33</v>
      </c>
    </row>
    <row r="70" spans="1:6" hidden="1" x14ac:dyDescent="0.25">
      <c r="A70" t="s">
        <v>60</v>
      </c>
      <c r="B70" t="s">
        <v>46</v>
      </c>
      <c r="C70">
        <v>6010</v>
      </c>
      <c r="D70" t="s">
        <v>40</v>
      </c>
      <c r="E70" t="s">
        <v>47</v>
      </c>
      <c r="F70" s="4">
        <v>521472.29</v>
      </c>
    </row>
    <row r="71" spans="1:6" hidden="1" x14ac:dyDescent="0.25">
      <c r="A71" t="s">
        <v>60</v>
      </c>
      <c r="B71" t="s">
        <v>46</v>
      </c>
      <c r="C71">
        <v>6200</v>
      </c>
      <c r="D71" t="s">
        <v>41</v>
      </c>
      <c r="E71" t="s">
        <v>47</v>
      </c>
      <c r="F71" s="4">
        <v>40040</v>
      </c>
    </row>
    <row r="72" spans="1:6" hidden="1" x14ac:dyDescent="0.25">
      <c r="A72" t="s">
        <v>60</v>
      </c>
      <c r="B72" t="s">
        <v>46</v>
      </c>
      <c r="C72">
        <v>6300</v>
      </c>
      <c r="D72" t="s">
        <v>42</v>
      </c>
      <c r="E72" t="s">
        <v>47</v>
      </c>
      <c r="F72" s="4">
        <v>13860</v>
      </c>
    </row>
    <row r="73" spans="1:6" hidden="1" x14ac:dyDescent="0.25">
      <c r="A73" t="s">
        <v>60</v>
      </c>
      <c r="B73" t="s">
        <v>46</v>
      </c>
      <c r="C73">
        <v>6800</v>
      </c>
      <c r="D73" t="s">
        <v>43</v>
      </c>
      <c r="E73" t="s">
        <v>47</v>
      </c>
      <c r="F73" s="4">
        <v>26500</v>
      </c>
    </row>
    <row r="74" spans="1:6" hidden="1" x14ac:dyDescent="0.25">
      <c r="A74" t="s">
        <v>60</v>
      </c>
      <c r="B74" t="s">
        <v>48</v>
      </c>
      <c r="C74">
        <v>6000</v>
      </c>
      <c r="D74" t="s">
        <v>38</v>
      </c>
      <c r="E74" t="s">
        <v>49</v>
      </c>
      <c r="F74" s="4">
        <v>458875</v>
      </c>
    </row>
    <row r="75" spans="1:6" hidden="1" x14ac:dyDescent="0.25">
      <c r="A75" t="s">
        <v>60</v>
      </c>
      <c r="B75" t="s">
        <v>48</v>
      </c>
      <c r="C75">
        <v>6010</v>
      </c>
      <c r="D75" t="s">
        <v>40</v>
      </c>
      <c r="E75" t="s">
        <v>49</v>
      </c>
      <c r="F75" s="4">
        <v>112424.37</v>
      </c>
    </row>
    <row r="76" spans="1:6" hidden="1" x14ac:dyDescent="0.25">
      <c r="A76" t="s">
        <v>60</v>
      </c>
      <c r="B76" t="s">
        <v>48</v>
      </c>
      <c r="C76">
        <v>6200</v>
      </c>
      <c r="D76" t="s">
        <v>41</v>
      </c>
      <c r="E76" t="s">
        <v>49</v>
      </c>
      <c r="F76" s="4">
        <v>11180</v>
      </c>
    </row>
    <row r="77" spans="1:6" hidden="1" x14ac:dyDescent="0.25">
      <c r="A77" t="s">
        <v>60</v>
      </c>
      <c r="B77" t="s">
        <v>48</v>
      </c>
      <c r="C77">
        <v>6300</v>
      </c>
      <c r="D77" t="s">
        <v>42</v>
      </c>
      <c r="E77" t="s">
        <v>49</v>
      </c>
      <c r="F77" s="4">
        <v>3870</v>
      </c>
    </row>
    <row r="78" spans="1:6" hidden="1" x14ac:dyDescent="0.25">
      <c r="A78" t="s">
        <v>60</v>
      </c>
      <c r="B78" t="s">
        <v>48</v>
      </c>
      <c r="C78">
        <v>6800</v>
      </c>
      <c r="D78" t="s">
        <v>43</v>
      </c>
      <c r="E78" t="s">
        <v>49</v>
      </c>
      <c r="F78" s="4">
        <v>8500</v>
      </c>
    </row>
    <row r="79" spans="1:6" hidden="1" x14ac:dyDescent="0.25">
      <c r="A79" t="s">
        <v>60</v>
      </c>
      <c r="B79" t="s">
        <v>50</v>
      </c>
      <c r="C79">
        <v>6000</v>
      </c>
      <c r="D79" t="s">
        <v>38</v>
      </c>
      <c r="E79" t="s">
        <v>34</v>
      </c>
      <c r="F79" s="4">
        <v>253666.67</v>
      </c>
    </row>
    <row r="80" spans="1:6" hidden="1" x14ac:dyDescent="0.25">
      <c r="A80" t="s">
        <v>60</v>
      </c>
      <c r="B80" t="s">
        <v>50</v>
      </c>
      <c r="C80">
        <v>6010</v>
      </c>
      <c r="D80" t="s">
        <v>40</v>
      </c>
      <c r="E80" t="s">
        <v>34</v>
      </c>
      <c r="F80" s="4">
        <v>62148.33</v>
      </c>
    </row>
    <row r="81" spans="1:6" hidden="1" x14ac:dyDescent="0.25">
      <c r="A81" t="s">
        <v>60</v>
      </c>
      <c r="B81" t="s">
        <v>50</v>
      </c>
      <c r="C81">
        <v>6200</v>
      </c>
      <c r="D81" t="s">
        <v>41</v>
      </c>
      <c r="E81" t="s">
        <v>34</v>
      </c>
      <c r="F81" s="4">
        <v>10920</v>
      </c>
    </row>
    <row r="82" spans="1:6" hidden="1" x14ac:dyDescent="0.25">
      <c r="A82" t="s">
        <v>60</v>
      </c>
      <c r="B82" t="s">
        <v>50</v>
      </c>
      <c r="C82">
        <v>6300</v>
      </c>
      <c r="D82" t="s">
        <v>42</v>
      </c>
      <c r="E82" t="s">
        <v>34</v>
      </c>
      <c r="F82" s="4">
        <v>3780</v>
      </c>
    </row>
    <row r="83" spans="1:6" hidden="1" x14ac:dyDescent="0.25">
      <c r="A83" t="s">
        <v>60</v>
      </c>
      <c r="B83" t="s">
        <v>50</v>
      </c>
      <c r="C83">
        <v>6800</v>
      </c>
      <c r="D83" t="s">
        <v>43</v>
      </c>
      <c r="E83" t="s">
        <v>34</v>
      </c>
      <c r="F83" s="4">
        <v>8500</v>
      </c>
    </row>
    <row r="84" spans="1:6" hidden="1" x14ac:dyDescent="0.25">
      <c r="A84" t="s">
        <v>60</v>
      </c>
      <c r="B84" t="s">
        <v>51</v>
      </c>
      <c r="C84">
        <v>6000</v>
      </c>
      <c r="D84" t="s">
        <v>38</v>
      </c>
      <c r="E84" t="s">
        <v>34</v>
      </c>
      <c r="F84" s="4">
        <v>298833.33</v>
      </c>
    </row>
    <row r="85" spans="1:6" hidden="1" x14ac:dyDescent="0.25">
      <c r="A85" t="s">
        <v>60</v>
      </c>
      <c r="B85" t="s">
        <v>51</v>
      </c>
      <c r="C85">
        <v>6010</v>
      </c>
      <c r="D85" t="s">
        <v>40</v>
      </c>
      <c r="E85" t="s">
        <v>34</v>
      </c>
      <c r="F85" s="4">
        <v>73214.17</v>
      </c>
    </row>
    <row r="86" spans="1:6" hidden="1" x14ac:dyDescent="0.25">
      <c r="A86" t="s">
        <v>60</v>
      </c>
      <c r="B86" t="s">
        <v>51</v>
      </c>
      <c r="C86">
        <v>6200</v>
      </c>
      <c r="D86" t="s">
        <v>41</v>
      </c>
      <c r="E86" t="s">
        <v>34</v>
      </c>
      <c r="F86" s="4">
        <v>7540</v>
      </c>
    </row>
    <row r="87" spans="1:6" hidden="1" x14ac:dyDescent="0.25">
      <c r="A87" t="s">
        <v>60</v>
      </c>
      <c r="B87" t="s">
        <v>51</v>
      </c>
      <c r="C87">
        <v>6300</v>
      </c>
      <c r="D87" t="s">
        <v>42</v>
      </c>
      <c r="E87" t="s">
        <v>34</v>
      </c>
      <c r="F87" s="4">
        <v>15660</v>
      </c>
    </row>
    <row r="88" spans="1:6" hidden="1" x14ac:dyDescent="0.25">
      <c r="A88" t="s">
        <v>60</v>
      </c>
      <c r="B88" t="s">
        <v>51</v>
      </c>
      <c r="C88">
        <v>6800</v>
      </c>
      <c r="D88" t="s">
        <v>43</v>
      </c>
      <c r="E88" t="s">
        <v>34</v>
      </c>
      <c r="F88" s="4">
        <v>8500</v>
      </c>
    </row>
    <row r="89" spans="1:6" hidden="1" x14ac:dyDescent="0.25">
      <c r="A89" t="s">
        <v>60</v>
      </c>
      <c r="B89" t="s">
        <v>37</v>
      </c>
      <c r="C89">
        <v>6020</v>
      </c>
      <c r="D89" t="s">
        <v>52</v>
      </c>
      <c r="E89" t="s">
        <v>39</v>
      </c>
      <c r="F89" s="4">
        <v>182952</v>
      </c>
    </row>
    <row r="90" spans="1:6" hidden="1" x14ac:dyDescent="0.25">
      <c r="A90" t="s">
        <v>60</v>
      </c>
      <c r="B90" t="s">
        <v>46</v>
      </c>
      <c r="C90">
        <v>6100</v>
      </c>
      <c r="D90" t="s">
        <v>53</v>
      </c>
      <c r="E90" t="s">
        <v>47</v>
      </c>
      <c r="F90" s="4">
        <v>120000</v>
      </c>
    </row>
    <row r="91" spans="1:6" hidden="1" x14ac:dyDescent="0.25">
      <c r="A91" t="s">
        <v>60</v>
      </c>
      <c r="B91" t="s">
        <v>51</v>
      </c>
      <c r="C91">
        <v>6100</v>
      </c>
      <c r="D91" t="s">
        <v>53</v>
      </c>
      <c r="E91" t="s">
        <v>34</v>
      </c>
      <c r="F91" s="4">
        <v>55000</v>
      </c>
    </row>
    <row r="92" spans="1:6" hidden="1" x14ac:dyDescent="0.25">
      <c r="A92" t="s">
        <v>60</v>
      </c>
      <c r="B92" t="s">
        <v>44</v>
      </c>
      <c r="C92">
        <v>6400</v>
      </c>
      <c r="D92" t="s">
        <v>54</v>
      </c>
      <c r="E92" t="s">
        <v>39</v>
      </c>
      <c r="F92" s="4">
        <v>540000</v>
      </c>
    </row>
    <row r="93" spans="1:6" hidden="1" x14ac:dyDescent="0.25">
      <c r="A93" t="s">
        <v>60</v>
      </c>
      <c r="B93" t="s">
        <v>44</v>
      </c>
      <c r="C93">
        <v>6410</v>
      </c>
      <c r="D93" t="s">
        <v>55</v>
      </c>
      <c r="E93" t="s">
        <v>39</v>
      </c>
      <c r="F93" s="4">
        <v>55000</v>
      </c>
    </row>
    <row r="94" spans="1:6" hidden="1" x14ac:dyDescent="0.25">
      <c r="A94" t="s">
        <v>60</v>
      </c>
      <c r="B94" t="s">
        <v>48</v>
      </c>
      <c r="C94">
        <v>6500</v>
      </c>
      <c r="D94" t="s">
        <v>56</v>
      </c>
      <c r="E94" t="s">
        <v>49</v>
      </c>
      <c r="F94" s="4">
        <v>45000</v>
      </c>
    </row>
    <row r="95" spans="1:6" hidden="1" x14ac:dyDescent="0.25">
      <c r="A95" t="s">
        <v>60</v>
      </c>
      <c r="B95" t="s">
        <v>48</v>
      </c>
      <c r="C95">
        <v>6510</v>
      </c>
      <c r="D95" t="s">
        <v>57</v>
      </c>
      <c r="E95" t="s">
        <v>49</v>
      </c>
      <c r="F95" s="4">
        <v>140000</v>
      </c>
    </row>
    <row r="96" spans="1:6" hidden="1" x14ac:dyDescent="0.25">
      <c r="A96" t="s">
        <v>60</v>
      </c>
      <c r="B96" t="s">
        <v>48</v>
      </c>
      <c r="C96">
        <v>6600</v>
      </c>
      <c r="D96" t="s">
        <v>58</v>
      </c>
      <c r="E96" t="s">
        <v>49</v>
      </c>
      <c r="F96" s="4">
        <v>312000</v>
      </c>
    </row>
    <row r="97" spans="1:6" hidden="1" x14ac:dyDescent="0.25">
      <c r="A97" t="s">
        <v>60</v>
      </c>
      <c r="B97" t="s">
        <v>48</v>
      </c>
      <c r="C97">
        <v>6700</v>
      </c>
      <c r="D97" t="s">
        <v>59</v>
      </c>
      <c r="E97" t="s">
        <v>49</v>
      </c>
      <c r="F97" s="4">
        <v>141000</v>
      </c>
    </row>
    <row r="98" spans="1:6" hidden="1" x14ac:dyDescent="0.25">
      <c r="A98" t="s">
        <v>61</v>
      </c>
      <c r="B98" t="s">
        <v>31</v>
      </c>
      <c r="C98">
        <v>4000</v>
      </c>
      <c r="D98" t="s">
        <v>32</v>
      </c>
      <c r="E98" t="s">
        <v>31</v>
      </c>
      <c r="F98" s="4">
        <v>9238620</v>
      </c>
    </row>
    <row r="99" spans="1:6" x14ac:dyDescent="0.25">
      <c r="A99" t="s">
        <v>61</v>
      </c>
      <c r="B99" t="s">
        <v>31</v>
      </c>
      <c r="C99">
        <v>4100</v>
      </c>
      <c r="D99" t="s">
        <v>33</v>
      </c>
      <c r="E99" t="s">
        <v>31</v>
      </c>
      <c r="F99" s="4">
        <v>760000</v>
      </c>
    </row>
    <row r="100" spans="1:6" hidden="1" x14ac:dyDescent="0.25">
      <c r="A100" t="s">
        <v>61</v>
      </c>
      <c r="B100" t="s">
        <v>34</v>
      </c>
      <c r="C100">
        <v>5000</v>
      </c>
      <c r="D100" t="s">
        <v>35</v>
      </c>
      <c r="E100" t="s">
        <v>34</v>
      </c>
      <c r="F100" s="4">
        <v>877668.9</v>
      </c>
    </row>
    <row r="101" spans="1:6" hidden="1" x14ac:dyDescent="0.25">
      <c r="A101" t="s">
        <v>61</v>
      </c>
      <c r="B101" t="s">
        <v>34</v>
      </c>
      <c r="C101">
        <v>5300</v>
      </c>
      <c r="D101" t="s">
        <v>36</v>
      </c>
      <c r="E101" t="s">
        <v>34</v>
      </c>
      <c r="F101" s="4">
        <v>171000</v>
      </c>
    </row>
    <row r="102" spans="1:6" hidden="1" x14ac:dyDescent="0.25">
      <c r="A102" t="s">
        <v>61</v>
      </c>
      <c r="B102" t="s">
        <v>37</v>
      </c>
      <c r="C102">
        <v>6000</v>
      </c>
      <c r="D102" t="s">
        <v>38</v>
      </c>
      <c r="E102" t="s">
        <v>39</v>
      </c>
      <c r="F102" s="4">
        <v>805166.67</v>
      </c>
    </row>
    <row r="103" spans="1:6" hidden="1" x14ac:dyDescent="0.25">
      <c r="A103" t="s">
        <v>61</v>
      </c>
      <c r="B103" t="s">
        <v>37</v>
      </c>
      <c r="C103">
        <v>6010</v>
      </c>
      <c r="D103" t="s">
        <v>40</v>
      </c>
      <c r="E103" t="s">
        <v>39</v>
      </c>
      <c r="F103" s="4">
        <v>197265.83</v>
      </c>
    </row>
    <row r="104" spans="1:6" hidden="1" x14ac:dyDescent="0.25">
      <c r="A104" t="s">
        <v>61</v>
      </c>
      <c r="B104" t="s">
        <v>37</v>
      </c>
      <c r="C104">
        <v>6200</v>
      </c>
      <c r="D104" t="s">
        <v>41</v>
      </c>
      <c r="E104" t="s">
        <v>39</v>
      </c>
      <c r="F104" s="4">
        <v>25220</v>
      </c>
    </row>
    <row r="105" spans="1:6" hidden="1" x14ac:dyDescent="0.25">
      <c r="A105" t="s">
        <v>61</v>
      </c>
      <c r="B105" t="s">
        <v>37</v>
      </c>
      <c r="C105">
        <v>6300</v>
      </c>
      <c r="D105" t="s">
        <v>42</v>
      </c>
      <c r="E105" t="s">
        <v>39</v>
      </c>
      <c r="F105" s="4">
        <v>60140</v>
      </c>
    </row>
    <row r="106" spans="1:6" hidden="1" x14ac:dyDescent="0.25">
      <c r="A106" t="s">
        <v>61</v>
      </c>
      <c r="B106" t="s">
        <v>37</v>
      </c>
      <c r="C106">
        <v>6800</v>
      </c>
      <c r="D106" t="s">
        <v>43</v>
      </c>
      <c r="E106" t="s">
        <v>39</v>
      </c>
      <c r="F106" s="4">
        <v>22000</v>
      </c>
    </row>
    <row r="107" spans="1:6" hidden="1" x14ac:dyDescent="0.25">
      <c r="A107" t="s">
        <v>61</v>
      </c>
      <c r="B107" t="s">
        <v>44</v>
      </c>
      <c r="C107">
        <v>6000</v>
      </c>
      <c r="D107" t="s">
        <v>38</v>
      </c>
      <c r="E107" t="s">
        <v>39</v>
      </c>
      <c r="F107" s="4">
        <v>279291.67</v>
      </c>
    </row>
    <row r="108" spans="1:6" hidden="1" x14ac:dyDescent="0.25">
      <c r="A108" t="s">
        <v>61</v>
      </c>
      <c r="B108" t="s">
        <v>44</v>
      </c>
      <c r="C108">
        <v>6010</v>
      </c>
      <c r="D108" t="s">
        <v>40</v>
      </c>
      <c r="E108" t="s">
        <v>39</v>
      </c>
      <c r="F108" s="4">
        <v>68426.460000000006</v>
      </c>
    </row>
    <row r="109" spans="1:6" hidden="1" x14ac:dyDescent="0.25">
      <c r="A109" t="s">
        <v>61</v>
      </c>
      <c r="B109" t="s">
        <v>44</v>
      </c>
      <c r="C109">
        <v>6200</v>
      </c>
      <c r="D109" t="s">
        <v>41</v>
      </c>
      <c r="E109" t="s">
        <v>39</v>
      </c>
      <c r="F109" s="4">
        <v>7800</v>
      </c>
    </row>
    <row r="110" spans="1:6" hidden="1" x14ac:dyDescent="0.25">
      <c r="A110" t="s">
        <v>61</v>
      </c>
      <c r="B110" t="s">
        <v>44</v>
      </c>
      <c r="C110">
        <v>6300</v>
      </c>
      <c r="D110" t="s">
        <v>42</v>
      </c>
      <c r="E110" t="s">
        <v>39</v>
      </c>
      <c r="F110" s="4">
        <v>9000</v>
      </c>
    </row>
    <row r="111" spans="1:6" hidden="1" x14ac:dyDescent="0.25">
      <c r="A111" t="s">
        <v>61</v>
      </c>
      <c r="B111" t="s">
        <v>44</v>
      </c>
      <c r="C111">
        <v>6800</v>
      </c>
      <c r="D111" t="s">
        <v>43</v>
      </c>
      <c r="E111" t="s">
        <v>39</v>
      </c>
      <c r="F111" s="4">
        <v>8500</v>
      </c>
    </row>
    <row r="112" spans="1:6" hidden="1" x14ac:dyDescent="0.25">
      <c r="A112" t="s">
        <v>61</v>
      </c>
      <c r="B112" t="s">
        <v>45</v>
      </c>
      <c r="C112">
        <v>6000</v>
      </c>
      <c r="D112" t="s">
        <v>38</v>
      </c>
      <c r="E112" t="s">
        <v>39</v>
      </c>
      <c r="F112" s="4">
        <v>291916.67</v>
      </c>
    </row>
    <row r="113" spans="1:6" hidden="1" x14ac:dyDescent="0.25">
      <c r="A113" t="s">
        <v>61</v>
      </c>
      <c r="B113" t="s">
        <v>45</v>
      </c>
      <c r="C113">
        <v>6010</v>
      </c>
      <c r="D113" t="s">
        <v>40</v>
      </c>
      <c r="E113" t="s">
        <v>39</v>
      </c>
      <c r="F113" s="4">
        <v>71519.58</v>
      </c>
    </row>
    <row r="114" spans="1:6" hidden="1" x14ac:dyDescent="0.25">
      <c r="A114" t="s">
        <v>61</v>
      </c>
      <c r="B114" t="s">
        <v>45</v>
      </c>
      <c r="C114">
        <v>6200</v>
      </c>
      <c r="D114" t="s">
        <v>41</v>
      </c>
      <c r="E114" t="s">
        <v>39</v>
      </c>
      <c r="F114" s="4">
        <v>9880</v>
      </c>
    </row>
    <row r="115" spans="1:6" hidden="1" x14ac:dyDescent="0.25">
      <c r="A115" t="s">
        <v>61</v>
      </c>
      <c r="B115" t="s">
        <v>45</v>
      </c>
      <c r="C115">
        <v>6300</v>
      </c>
      <c r="D115" t="s">
        <v>42</v>
      </c>
      <c r="E115" t="s">
        <v>39</v>
      </c>
      <c r="F115" s="4">
        <v>9880</v>
      </c>
    </row>
    <row r="116" spans="1:6" hidden="1" x14ac:dyDescent="0.25">
      <c r="A116" t="s">
        <v>61</v>
      </c>
      <c r="B116" t="s">
        <v>45</v>
      </c>
      <c r="C116">
        <v>6800</v>
      </c>
      <c r="D116" t="s">
        <v>43</v>
      </c>
      <c r="E116" t="s">
        <v>39</v>
      </c>
      <c r="F116" s="4">
        <v>13000</v>
      </c>
    </row>
    <row r="117" spans="1:6" hidden="1" x14ac:dyDescent="0.25">
      <c r="A117" t="s">
        <v>61</v>
      </c>
      <c r="B117" t="s">
        <v>46</v>
      </c>
      <c r="C117">
        <v>6000</v>
      </c>
      <c r="D117" t="s">
        <v>38</v>
      </c>
      <c r="E117" t="s">
        <v>47</v>
      </c>
      <c r="F117" s="4">
        <v>2163000</v>
      </c>
    </row>
    <row r="118" spans="1:6" hidden="1" x14ac:dyDescent="0.25">
      <c r="A118" t="s">
        <v>61</v>
      </c>
      <c r="B118" t="s">
        <v>46</v>
      </c>
      <c r="C118">
        <v>6010</v>
      </c>
      <c r="D118" t="s">
        <v>40</v>
      </c>
      <c r="E118" t="s">
        <v>47</v>
      </c>
      <c r="F118" s="4">
        <v>529935</v>
      </c>
    </row>
    <row r="119" spans="1:6" hidden="1" x14ac:dyDescent="0.25">
      <c r="A119" t="s">
        <v>61</v>
      </c>
      <c r="B119" t="s">
        <v>46</v>
      </c>
      <c r="C119">
        <v>6200</v>
      </c>
      <c r="D119" t="s">
        <v>41</v>
      </c>
      <c r="E119" t="s">
        <v>47</v>
      </c>
      <c r="F119" s="4">
        <v>40820</v>
      </c>
    </row>
    <row r="120" spans="1:6" hidden="1" x14ac:dyDescent="0.25">
      <c r="A120" t="s">
        <v>61</v>
      </c>
      <c r="B120" t="s">
        <v>46</v>
      </c>
      <c r="C120">
        <v>6300</v>
      </c>
      <c r="D120" t="s">
        <v>42</v>
      </c>
      <c r="E120" t="s">
        <v>47</v>
      </c>
      <c r="F120" s="4">
        <v>14130</v>
      </c>
    </row>
    <row r="121" spans="1:6" hidden="1" x14ac:dyDescent="0.25">
      <c r="A121" t="s">
        <v>61</v>
      </c>
      <c r="B121" t="s">
        <v>46</v>
      </c>
      <c r="C121">
        <v>6800</v>
      </c>
      <c r="D121" t="s">
        <v>43</v>
      </c>
      <c r="E121" t="s">
        <v>47</v>
      </c>
      <c r="F121" s="4">
        <v>31000</v>
      </c>
    </row>
    <row r="122" spans="1:6" hidden="1" x14ac:dyDescent="0.25">
      <c r="A122" t="s">
        <v>61</v>
      </c>
      <c r="B122" t="s">
        <v>48</v>
      </c>
      <c r="C122">
        <v>6000</v>
      </c>
      <c r="D122" t="s">
        <v>38</v>
      </c>
      <c r="E122" t="s">
        <v>49</v>
      </c>
      <c r="F122" s="4">
        <v>458875</v>
      </c>
    </row>
    <row r="123" spans="1:6" hidden="1" x14ac:dyDescent="0.25">
      <c r="A123" t="s">
        <v>61</v>
      </c>
      <c r="B123" t="s">
        <v>48</v>
      </c>
      <c r="C123">
        <v>6010</v>
      </c>
      <c r="D123" t="s">
        <v>40</v>
      </c>
      <c r="E123" t="s">
        <v>49</v>
      </c>
      <c r="F123" s="4">
        <v>112424.37</v>
      </c>
    </row>
    <row r="124" spans="1:6" hidden="1" x14ac:dyDescent="0.25">
      <c r="A124" t="s">
        <v>61</v>
      </c>
      <c r="B124" t="s">
        <v>48</v>
      </c>
      <c r="C124">
        <v>6200</v>
      </c>
      <c r="D124" t="s">
        <v>41</v>
      </c>
      <c r="E124" t="s">
        <v>49</v>
      </c>
      <c r="F124" s="4">
        <v>11180</v>
      </c>
    </row>
    <row r="125" spans="1:6" hidden="1" x14ac:dyDescent="0.25">
      <c r="A125" t="s">
        <v>61</v>
      </c>
      <c r="B125" t="s">
        <v>48</v>
      </c>
      <c r="C125">
        <v>6300</v>
      </c>
      <c r="D125" t="s">
        <v>42</v>
      </c>
      <c r="E125" t="s">
        <v>49</v>
      </c>
      <c r="F125" s="4">
        <v>3870</v>
      </c>
    </row>
    <row r="126" spans="1:6" hidden="1" x14ac:dyDescent="0.25">
      <c r="A126" t="s">
        <v>61</v>
      </c>
      <c r="B126" t="s">
        <v>48</v>
      </c>
      <c r="C126">
        <v>6800</v>
      </c>
      <c r="D126" t="s">
        <v>43</v>
      </c>
      <c r="E126" t="s">
        <v>49</v>
      </c>
      <c r="F126" s="4">
        <v>8500</v>
      </c>
    </row>
    <row r="127" spans="1:6" hidden="1" x14ac:dyDescent="0.25">
      <c r="A127" t="s">
        <v>61</v>
      </c>
      <c r="B127" t="s">
        <v>50</v>
      </c>
      <c r="C127">
        <v>6000</v>
      </c>
      <c r="D127" t="s">
        <v>38</v>
      </c>
      <c r="E127" t="s">
        <v>34</v>
      </c>
      <c r="F127" s="4">
        <v>253666.67</v>
      </c>
    </row>
    <row r="128" spans="1:6" hidden="1" x14ac:dyDescent="0.25">
      <c r="A128" t="s">
        <v>61</v>
      </c>
      <c r="B128" t="s">
        <v>50</v>
      </c>
      <c r="C128">
        <v>6010</v>
      </c>
      <c r="D128" t="s">
        <v>40</v>
      </c>
      <c r="E128" t="s">
        <v>34</v>
      </c>
      <c r="F128" s="4">
        <v>62148.33</v>
      </c>
    </row>
    <row r="129" spans="1:6" hidden="1" x14ac:dyDescent="0.25">
      <c r="A129" t="s">
        <v>61</v>
      </c>
      <c r="B129" t="s">
        <v>50</v>
      </c>
      <c r="C129">
        <v>6200</v>
      </c>
      <c r="D129" t="s">
        <v>41</v>
      </c>
      <c r="E129" t="s">
        <v>34</v>
      </c>
      <c r="F129" s="4">
        <v>10920</v>
      </c>
    </row>
    <row r="130" spans="1:6" hidden="1" x14ac:dyDescent="0.25">
      <c r="A130" t="s">
        <v>61</v>
      </c>
      <c r="B130" t="s">
        <v>50</v>
      </c>
      <c r="C130">
        <v>6300</v>
      </c>
      <c r="D130" t="s">
        <v>42</v>
      </c>
      <c r="E130" t="s">
        <v>34</v>
      </c>
      <c r="F130" s="4">
        <v>3780</v>
      </c>
    </row>
    <row r="131" spans="1:6" hidden="1" x14ac:dyDescent="0.25">
      <c r="A131" t="s">
        <v>61</v>
      </c>
      <c r="B131" t="s">
        <v>50</v>
      </c>
      <c r="C131">
        <v>6800</v>
      </c>
      <c r="D131" t="s">
        <v>43</v>
      </c>
      <c r="E131" t="s">
        <v>34</v>
      </c>
      <c r="F131" s="4">
        <v>8500</v>
      </c>
    </row>
    <row r="132" spans="1:6" hidden="1" x14ac:dyDescent="0.25">
      <c r="A132" t="s">
        <v>61</v>
      </c>
      <c r="B132" t="s">
        <v>51</v>
      </c>
      <c r="C132">
        <v>6000</v>
      </c>
      <c r="D132" t="s">
        <v>38</v>
      </c>
      <c r="E132" t="s">
        <v>34</v>
      </c>
      <c r="F132" s="4">
        <v>298833.33</v>
      </c>
    </row>
    <row r="133" spans="1:6" hidden="1" x14ac:dyDescent="0.25">
      <c r="A133" t="s">
        <v>61</v>
      </c>
      <c r="B133" t="s">
        <v>51</v>
      </c>
      <c r="C133">
        <v>6010</v>
      </c>
      <c r="D133" t="s">
        <v>40</v>
      </c>
      <c r="E133" t="s">
        <v>34</v>
      </c>
      <c r="F133" s="4">
        <v>73214.17</v>
      </c>
    </row>
    <row r="134" spans="1:6" hidden="1" x14ac:dyDescent="0.25">
      <c r="A134" t="s">
        <v>61</v>
      </c>
      <c r="B134" t="s">
        <v>51</v>
      </c>
      <c r="C134">
        <v>6200</v>
      </c>
      <c r="D134" t="s">
        <v>41</v>
      </c>
      <c r="E134" t="s">
        <v>34</v>
      </c>
      <c r="F134" s="4">
        <v>7540</v>
      </c>
    </row>
    <row r="135" spans="1:6" hidden="1" x14ac:dyDescent="0.25">
      <c r="A135" t="s">
        <v>61</v>
      </c>
      <c r="B135" t="s">
        <v>51</v>
      </c>
      <c r="C135">
        <v>6300</v>
      </c>
      <c r="D135" t="s">
        <v>42</v>
      </c>
      <c r="E135" t="s">
        <v>34</v>
      </c>
      <c r="F135" s="4">
        <v>15660</v>
      </c>
    </row>
    <row r="136" spans="1:6" hidden="1" x14ac:dyDescent="0.25">
      <c r="A136" t="s">
        <v>61</v>
      </c>
      <c r="B136" t="s">
        <v>51</v>
      </c>
      <c r="C136">
        <v>6800</v>
      </c>
      <c r="D136" t="s">
        <v>43</v>
      </c>
      <c r="E136" t="s">
        <v>34</v>
      </c>
      <c r="F136" s="4">
        <v>8500</v>
      </c>
    </row>
    <row r="137" spans="1:6" hidden="1" x14ac:dyDescent="0.25">
      <c r="A137" t="s">
        <v>61</v>
      </c>
      <c r="B137" t="s">
        <v>37</v>
      </c>
      <c r="C137">
        <v>6020</v>
      </c>
      <c r="D137" t="s">
        <v>52</v>
      </c>
      <c r="E137" t="s">
        <v>39</v>
      </c>
      <c r="F137" s="4">
        <v>292723.20000000001</v>
      </c>
    </row>
    <row r="138" spans="1:6" hidden="1" x14ac:dyDescent="0.25">
      <c r="A138" t="s">
        <v>61</v>
      </c>
      <c r="B138" t="s">
        <v>46</v>
      </c>
      <c r="C138">
        <v>6100</v>
      </c>
      <c r="D138" t="s">
        <v>53</v>
      </c>
      <c r="E138" t="s">
        <v>47</v>
      </c>
      <c r="F138" s="4">
        <v>120000</v>
      </c>
    </row>
    <row r="139" spans="1:6" hidden="1" x14ac:dyDescent="0.25">
      <c r="A139" t="s">
        <v>61</v>
      </c>
      <c r="B139" t="s">
        <v>51</v>
      </c>
      <c r="C139">
        <v>6100</v>
      </c>
      <c r="D139" t="s">
        <v>53</v>
      </c>
      <c r="E139" t="s">
        <v>34</v>
      </c>
      <c r="F139" s="4">
        <v>55000</v>
      </c>
    </row>
    <row r="140" spans="1:6" hidden="1" x14ac:dyDescent="0.25">
      <c r="A140" t="s">
        <v>61</v>
      </c>
      <c r="B140" t="s">
        <v>44</v>
      </c>
      <c r="C140">
        <v>6400</v>
      </c>
      <c r="D140" t="s">
        <v>54</v>
      </c>
      <c r="E140" t="s">
        <v>39</v>
      </c>
      <c r="F140" s="4">
        <v>600000</v>
      </c>
    </row>
    <row r="141" spans="1:6" hidden="1" x14ac:dyDescent="0.25">
      <c r="A141" t="s">
        <v>61</v>
      </c>
      <c r="B141" t="s">
        <v>44</v>
      </c>
      <c r="C141">
        <v>6410</v>
      </c>
      <c r="D141" t="s">
        <v>55</v>
      </c>
      <c r="E141" t="s">
        <v>39</v>
      </c>
      <c r="F141" s="4">
        <v>55000</v>
      </c>
    </row>
    <row r="142" spans="1:6" hidden="1" x14ac:dyDescent="0.25">
      <c r="A142" t="s">
        <v>61</v>
      </c>
      <c r="B142" t="s">
        <v>48</v>
      </c>
      <c r="C142">
        <v>6500</v>
      </c>
      <c r="D142" t="s">
        <v>56</v>
      </c>
      <c r="E142" t="s">
        <v>49</v>
      </c>
      <c r="F142" s="4">
        <v>45000</v>
      </c>
    </row>
    <row r="143" spans="1:6" hidden="1" x14ac:dyDescent="0.25">
      <c r="A143" t="s">
        <v>61</v>
      </c>
      <c r="B143" t="s">
        <v>48</v>
      </c>
      <c r="C143">
        <v>6510</v>
      </c>
      <c r="D143" t="s">
        <v>57</v>
      </c>
      <c r="E143" t="s">
        <v>49</v>
      </c>
      <c r="F143" s="4">
        <v>110000</v>
      </c>
    </row>
    <row r="144" spans="1:6" hidden="1" x14ac:dyDescent="0.25">
      <c r="A144" t="s">
        <v>61</v>
      </c>
      <c r="B144" t="s">
        <v>48</v>
      </c>
      <c r="C144">
        <v>6600</v>
      </c>
      <c r="D144" t="s">
        <v>58</v>
      </c>
      <c r="E144" t="s">
        <v>49</v>
      </c>
      <c r="F144" s="4">
        <v>312000</v>
      </c>
    </row>
    <row r="145" spans="1:6" hidden="1" x14ac:dyDescent="0.25">
      <c r="A145" t="s">
        <v>61</v>
      </c>
      <c r="B145" t="s">
        <v>48</v>
      </c>
      <c r="C145">
        <v>6700</v>
      </c>
      <c r="D145" t="s">
        <v>59</v>
      </c>
      <c r="E145" t="s">
        <v>49</v>
      </c>
      <c r="F145" s="4">
        <v>142500</v>
      </c>
    </row>
    <row r="146" spans="1:6" hidden="1" x14ac:dyDescent="0.25">
      <c r="A146" t="s">
        <v>62</v>
      </c>
      <c r="B146" t="s">
        <v>31</v>
      </c>
      <c r="C146">
        <v>4000</v>
      </c>
      <c r="D146" t="s">
        <v>32</v>
      </c>
      <c r="E146" t="s">
        <v>31</v>
      </c>
      <c r="F146" s="4">
        <v>9370080</v>
      </c>
    </row>
    <row r="147" spans="1:6" x14ac:dyDescent="0.25">
      <c r="A147" t="s">
        <v>62</v>
      </c>
      <c r="B147" t="s">
        <v>31</v>
      </c>
      <c r="C147">
        <v>4100</v>
      </c>
      <c r="D147" t="s">
        <v>33</v>
      </c>
      <c r="E147" t="s">
        <v>31</v>
      </c>
      <c r="F147" s="4">
        <v>740000</v>
      </c>
    </row>
    <row r="148" spans="1:6" hidden="1" x14ac:dyDescent="0.25">
      <c r="A148" t="s">
        <v>62</v>
      </c>
      <c r="B148" t="s">
        <v>34</v>
      </c>
      <c r="C148">
        <v>5000</v>
      </c>
      <c r="D148" t="s">
        <v>35</v>
      </c>
      <c r="E148" t="s">
        <v>34</v>
      </c>
      <c r="F148" s="4">
        <v>890157.6</v>
      </c>
    </row>
    <row r="149" spans="1:6" hidden="1" x14ac:dyDescent="0.25">
      <c r="A149" t="s">
        <v>62</v>
      </c>
      <c r="B149" t="s">
        <v>34</v>
      </c>
      <c r="C149">
        <v>5300</v>
      </c>
      <c r="D149" t="s">
        <v>36</v>
      </c>
      <c r="E149" t="s">
        <v>34</v>
      </c>
      <c r="F149" s="4">
        <v>173000</v>
      </c>
    </row>
    <row r="150" spans="1:6" hidden="1" x14ac:dyDescent="0.25">
      <c r="A150" t="s">
        <v>62</v>
      </c>
      <c r="B150" t="s">
        <v>37</v>
      </c>
      <c r="C150">
        <v>6000</v>
      </c>
      <c r="D150" t="s">
        <v>38</v>
      </c>
      <c r="E150" t="s">
        <v>39</v>
      </c>
      <c r="F150" s="4">
        <v>828458.33</v>
      </c>
    </row>
    <row r="151" spans="1:6" hidden="1" x14ac:dyDescent="0.25">
      <c r="A151" t="s">
        <v>62</v>
      </c>
      <c r="B151" t="s">
        <v>37</v>
      </c>
      <c r="C151">
        <v>6010</v>
      </c>
      <c r="D151" t="s">
        <v>40</v>
      </c>
      <c r="E151" t="s">
        <v>39</v>
      </c>
      <c r="F151" s="4">
        <v>169833.96</v>
      </c>
    </row>
    <row r="152" spans="1:6" hidden="1" x14ac:dyDescent="0.25">
      <c r="A152" t="s">
        <v>62</v>
      </c>
      <c r="B152" t="s">
        <v>37</v>
      </c>
      <c r="C152">
        <v>6200</v>
      </c>
      <c r="D152" t="s">
        <v>41</v>
      </c>
      <c r="E152" t="s">
        <v>39</v>
      </c>
      <c r="F152" s="4">
        <v>25740</v>
      </c>
    </row>
    <row r="153" spans="1:6" hidden="1" x14ac:dyDescent="0.25">
      <c r="A153" t="s">
        <v>62</v>
      </c>
      <c r="B153" t="s">
        <v>37</v>
      </c>
      <c r="C153">
        <v>6300</v>
      </c>
      <c r="D153" t="s">
        <v>42</v>
      </c>
      <c r="E153" t="s">
        <v>39</v>
      </c>
      <c r="F153" s="4">
        <v>61380</v>
      </c>
    </row>
    <row r="154" spans="1:6" hidden="1" x14ac:dyDescent="0.25">
      <c r="A154" t="s">
        <v>62</v>
      </c>
      <c r="B154" t="s">
        <v>37</v>
      </c>
      <c r="C154">
        <v>6800</v>
      </c>
      <c r="D154" t="s">
        <v>43</v>
      </c>
      <c r="E154" t="s">
        <v>39</v>
      </c>
      <c r="F154" s="4">
        <v>22000</v>
      </c>
    </row>
    <row r="155" spans="1:6" hidden="1" x14ac:dyDescent="0.25">
      <c r="A155" t="s">
        <v>62</v>
      </c>
      <c r="B155" t="s">
        <v>44</v>
      </c>
      <c r="C155">
        <v>6000</v>
      </c>
      <c r="D155" t="s">
        <v>38</v>
      </c>
      <c r="E155" t="s">
        <v>39</v>
      </c>
      <c r="F155" s="4">
        <v>279291.67</v>
      </c>
    </row>
    <row r="156" spans="1:6" hidden="1" x14ac:dyDescent="0.25">
      <c r="A156" t="s">
        <v>62</v>
      </c>
      <c r="B156" t="s">
        <v>44</v>
      </c>
      <c r="C156">
        <v>6010</v>
      </c>
      <c r="D156" t="s">
        <v>40</v>
      </c>
      <c r="E156" t="s">
        <v>39</v>
      </c>
      <c r="F156" s="4">
        <v>57254.79</v>
      </c>
    </row>
    <row r="157" spans="1:6" hidden="1" x14ac:dyDescent="0.25">
      <c r="A157" t="s">
        <v>62</v>
      </c>
      <c r="B157" t="s">
        <v>44</v>
      </c>
      <c r="C157">
        <v>6200</v>
      </c>
      <c r="D157" t="s">
        <v>41</v>
      </c>
      <c r="E157" t="s">
        <v>39</v>
      </c>
      <c r="F157" s="4">
        <v>7800</v>
      </c>
    </row>
    <row r="158" spans="1:6" hidden="1" x14ac:dyDescent="0.25">
      <c r="A158" t="s">
        <v>62</v>
      </c>
      <c r="B158" t="s">
        <v>44</v>
      </c>
      <c r="C158">
        <v>6300</v>
      </c>
      <c r="D158" t="s">
        <v>42</v>
      </c>
      <c r="E158" t="s">
        <v>39</v>
      </c>
      <c r="F158" s="4">
        <v>9000</v>
      </c>
    </row>
    <row r="159" spans="1:6" hidden="1" x14ac:dyDescent="0.25">
      <c r="A159" t="s">
        <v>62</v>
      </c>
      <c r="B159" t="s">
        <v>44</v>
      </c>
      <c r="C159">
        <v>6800</v>
      </c>
      <c r="D159" t="s">
        <v>43</v>
      </c>
      <c r="E159" t="s">
        <v>39</v>
      </c>
      <c r="F159" s="4">
        <v>4000</v>
      </c>
    </row>
    <row r="160" spans="1:6" hidden="1" x14ac:dyDescent="0.25">
      <c r="A160" t="s">
        <v>62</v>
      </c>
      <c r="B160" t="s">
        <v>45</v>
      </c>
      <c r="C160">
        <v>6000</v>
      </c>
      <c r="D160" t="s">
        <v>38</v>
      </c>
      <c r="E160" t="s">
        <v>39</v>
      </c>
      <c r="F160" s="4">
        <v>302041.67</v>
      </c>
    </row>
    <row r="161" spans="1:6" hidden="1" x14ac:dyDescent="0.25">
      <c r="A161" t="s">
        <v>62</v>
      </c>
      <c r="B161" t="s">
        <v>45</v>
      </c>
      <c r="C161">
        <v>6010</v>
      </c>
      <c r="D161" t="s">
        <v>40</v>
      </c>
      <c r="E161" t="s">
        <v>39</v>
      </c>
      <c r="F161" s="4">
        <v>61918.54</v>
      </c>
    </row>
    <row r="162" spans="1:6" hidden="1" x14ac:dyDescent="0.25">
      <c r="A162" t="s">
        <v>62</v>
      </c>
      <c r="B162" t="s">
        <v>45</v>
      </c>
      <c r="C162">
        <v>6200</v>
      </c>
      <c r="D162" t="s">
        <v>41</v>
      </c>
      <c r="E162" t="s">
        <v>39</v>
      </c>
      <c r="F162" s="4">
        <v>10140</v>
      </c>
    </row>
    <row r="163" spans="1:6" hidden="1" x14ac:dyDescent="0.25">
      <c r="A163" t="s">
        <v>62</v>
      </c>
      <c r="B163" t="s">
        <v>45</v>
      </c>
      <c r="C163">
        <v>6300</v>
      </c>
      <c r="D163" t="s">
        <v>42</v>
      </c>
      <c r="E163" t="s">
        <v>39</v>
      </c>
      <c r="F163" s="4">
        <v>10140</v>
      </c>
    </row>
    <row r="164" spans="1:6" hidden="1" x14ac:dyDescent="0.25">
      <c r="A164" t="s">
        <v>62</v>
      </c>
      <c r="B164" t="s">
        <v>45</v>
      </c>
      <c r="C164">
        <v>6800</v>
      </c>
      <c r="D164" t="s">
        <v>43</v>
      </c>
      <c r="E164" t="s">
        <v>39</v>
      </c>
      <c r="F164" s="4">
        <v>8500</v>
      </c>
    </row>
    <row r="165" spans="1:6" hidden="1" x14ac:dyDescent="0.25">
      <c r="A165" t="s">
        <v>62</v>
      </c>
      <c r="B165" t="s">
        <v>46</v>
      </c>
      <c r="C165">
        <v>6000</v>
      </c>
      <c r="D165" t="s">
        <v>38</v>
      </c>
      <c r="E165" t="s">
        <v>47</v>
      </c>
      <c r="F165" s="4">
        <v>2200916.67</v>
      </c>
    </row>
    <row r="166" spans="1:6" hidden="1" x14ac:dyDescent="0.25">
      <c r="A166" t="s">
        <v>62</v>
      </c>
      <c r="B166" t="s">
        <v>46</v>
      </c>
      <c r="C166">
        <v>6010</v>
      </c>
      <c r="D166" t="s">
        <v>40</v>
      </c>
      <c r="E166" t="s">
        <v>47</v>
      </c>
      <c r="F166" s="4">
        <v>451187.92</v>
      </c>
    </row>
    <row r="167" spans="1:6" hidden="1" x14ac:dyDescent="0.25">
      <c r="A167" t="s">
        <v>62</v>
      </c>
      <c r="B167" t="s">
        <v>46</v>
      </c>
      <c r="C167">
        <v>6200</v>
      </c>
      <c r="D167" t="s">
        <v>41</v>
      </c>
      <c r="E167" t="s">
        <v>47</v>
      </c>
      <c r="F167" s="4">
        <v>41600</v>
      </c>
    </row>
    <row r="168" spans="1:6" hidden="1" x14ac:dyDescent="0.25">
      <c r="A168" t="s">
        <v>62</v>
      </c>
      <c r="B168" t="s">
        <v>46</v>
      </c>
      <c r="C168">
        <v>6300</v>
      </c>
      <c r="D168" t="s">
        <v>42</v>
      </c>
      <c r="E168" t="s">
        <v>47</v>
      </c>
      <c r="F168" s="4">
        <v>14400</v>
      </c>
    </row>
    <row r="169" spans="1:6" hidden="1" x14ac:dyDescent="0.25">
      <c r="A169" t="s">
        <v>62</v>
      </c>
      <c r="B169" t="s">
        <v>46</v>
      </c>
      <c r="C169">
        <v>6800</v>
      </c>
      <c r="D169" t="s">
        <v>43</v>
      </c>
      <c r="E169" t="s">
        <v>47</v>
      </c>
      <c r="F169" s="4">
        <v>26500</v>
      </c>
    </row>
    <row r="170" spans="1:6" hidden="1" x14ac:dyDescent="0.25">
      <c r="A170" t="s">
        <v>62</v>
      </c>
      <c r="B170" t="s">
        <v>48</v>
      </c>
      <c r="C170">
        <v>6000</v>
      </c>
      <c r="D170" t="s">
        <v>38</v>
      </c>
      <c r="E170" t="s">
        <v>49</v>
      </c>
      <c r="F170" s="4">
        <v>468833.33</v>
      </c>
    </row>
    <row r="171" spans="1:6" hidden="1" x14ac:dyDescent="0.25">
      <c r="A171" t="s">
        <v>62</v>
      </c>
      <c r="B171" t="s">
        <v>48</v>
      </c>
      <c r="C171">
        <v>6010</v>
      </c>
      <c r="D171" t="s">
        <v>40</v>
      </c>
      <c r="E171" t="s">
        <v>49</v>
      </c>
      <c r="F171" s="4">
        <v>96110.83</v>
      </c>
    </row>
    <row r="172" spans="1:6" hidden="1" x14ac:dyDescent="0.25">
      <c r="A172" t="s">
        <v>62</v>
      </c>
      <c r="B172" t="s">
        <v>48</v>
      </c>
      <c r="C172">
        <v>6200</v>
      </c>
      <c r="D172" t="s">
        <v>41</v>
      </c>
      <c r="E172" t="s">
        <v>49</v>
      </c>
      <c r="F172" s="4">
        <v>11440</v>
      </c>
    </row>
    <row r="173" spans="1:6" hidden="1" x14ac:dyDescent="0.25">
      <c r="A173" t="s">
        <v>62</v>
      </c>
      <c r="B173" t="s">
        <v>48</v>
      </c>
      <c r="C173">
        <v>6300</v>
      </c>
      <c r="D173" t="s">
        <v>42</v>
      </c>
      <c r="E173" t="s">
        <v>49</v>
      </c>
      <c r="F173" s="4">
        <v>3960</v>
      </c>
    </row>
    <row r="174" spans="1:6" hidden="1" x14ac:dyDescent="0.25">
      <c r="A174" t="s">
        <v>62</v>
      </c>
      <c r="B174" t="s">
        <v>48</v>
      </c>
      <c r="C174">
        <v>6800</v>
      </c>
      <c r="D174" t="s">
        <v>43</v>
      </c>
      <c r="E174" t="s">
        <v>49</v>
      </c>
      <c r="F174" s="4">
        <v>8500</v>
      </c>
    </row>
    <row r="175" spans="1:6" hidden="1" x14ac:dyDescent="0.25">
      <c r="A175" t="s">
        <v>62</v>
      </c>
      <c r="B175" t="s">
        <v>50</v>
      </c>
      <c r="C175">
        <v>6000</v>
      </c>
      <c r="D175" t="s">
        <v>38</v>
      </c>
      <c r="E175" t="s">
        <v>34</v>
      </c>
      <c r="F175" s="4">
        <v>258541.67</v>
      </c>
    </row>
    <row r="176" spans="1:6" hidden="1" x14ac:dyDescent="0.25">
      <c r="A176" t="s">
        <v>62</v>
      </c>
      <c r="B176" t="s">
        <v>50</v>
      </c>
      <c r="C176">
        <v>6010</v>
      </c>
      <c r="D176" t="s">
        <v>40</v>
      </c>
      <c r="E176" t="s">
        <v>34</v>
      </c>
      <c r="F176" s="4">
        <v>53001.04</v>
      </c>
    </row>
    <row r="177" spans="1:6" hidden="1" x14ac:dyDescent="0.25">
      <c r="A177" t="s">
        <v>62</v>
      </c>
      <c r="B177" t="s">
        <v>50</v>
      </c>
      <c r="C177">
        <v>6200</v>
      </c>
      <c r="D177" t="s">
        <v>41</v>
      </c>
      <c r="E177" t="s">
        <v>34</v>
      </c>
      <c r="F177" s="4">
        <v>11180</v>
      </c>
    </row>
    <row r="178" spans="1:6" hidden="1" x14ac:dyDescent="0.25">
      <c r="A178" t="s">
        <v>62</v>
      </c>
      <c r="B178" t="s">
        <v>50</v>
      </c>
      <c r="C178">
        <v>6300</v>
      </c>
      <c r="D178" t="s">
        <v>42</v>
      </c>
      <c r="E178" t="s">
        <v>34</v>
      </c>
      <c r="F178" s="4">
        <v>3870</v>
      </c>
    </row>
    <row r="179" spans="1:6" hidden="1" x14ac:dyDescent="0.25">
      <c r="A179" t="s">
        <v>62</v>
      </c>
      <c r="B179" t="s">
        <v>50</v>
      </c>
      <c r="C179">
        <v>6800</v>
      </c>
      <c r="D179" t="s">
        <v>43</v>
      </c>
      <c r="E179" t="s">
        <v>34</v>
      </c>
      <c r="F179" s="4">
        <v>8500</v>
      </c>
    </row>
    <row r="180" spans="1:6" hidden="1" x14ac:dyDescent="0.25">
      <c r="A180" t="s">
        <v>62</v>
      </c>
      <c r="B180" t="s">
        <v>51</v>
      </c>
      <c r="C180">
        <v>6000</v>
      </c>
      <c r="D180" t="s">
        <v>38</v>
      </c>
      <c r="E180" t="s">
        <v>34</v>
      </c>
      <c r="F180" s="4">
        <v>312333.33</v>
      </c>
    </row>
    <row r="181" spans="1:6" hidden="1" x14ac:dyDescent="0.25">
      <c r="A181" t="s">
        <v>62</v>
      </c>
      <c r="B181" t="s">
        <v>51</v>
      </c>
      <c r="C181">
        <v>6010</v>
      </c>
      <c r="D181" t="s">
        <v>40</v>
      </c>
      <c r="E181" t="s">
        <v>34</v>
      </c>
      <c r="F181" s="4">
        <v>64028.33</v>
      </c>
    </row>
    <row r="182" spans="1:6" hidden="1" x14ac:dyDescent="0.25">
      <c r="A182" t="s">
        <v>62</v>
      </c>
      <c r="B182" t="s">
        <v>51</v>
      </c>
      <c r="C182">
        <v>6200</v>
      </c>
      <c r="D182" t="s">
        <v>41</v>
      </c>
      <c r="E182" t="s">
        <v>34</v>
      </c>
      <c r="F182" s="4">
        <v>7800</v>
      </c>
    </row>
    <row r="183" spans="1:6" hidden="1" x14ac:dyDescent="0.25">
      <c r="A183" t="s">
        <v>62</v>
      </c>
      <c r="B183" t="s">
        <v>51</v>
      </c>
      <c r="C183">
        <v>6300</v>
      </c>
      <c r="D183" t="s">
        <v>42</v>
      </c>
      <c r="E183" t="s">
        <v>34</v>
      </c>
      <c r="F183" s="4">
        <v>16200</v>
      </c>
    </row>
    <row r="184" spans="1:6" hidden="1" x14ac:dyDescent="0.25">
      <c r="A184" t="s">
        <v>62</v>
      </c>
      <c r="B184" t="s">
        <v>51</v>
      </c>
      <c r="C184">
        <v>6800</v>
      </c>
      <c r="D184" t="s">
        <v>43</v>
      </c>
      <c r="E184" t="s">
        <v>34</v>
      </c>
      <c r="F184" s="4">
        <v>8500</v>
      </c>
    </row>
    <row r="185" spans="1:6" hidden="1" x14ac:dyDescent="0.25">
      <c r="A185" t="s">
        <v>62</v>
      </c>
      <c r="B185" t="s">
        <v>37</v>
      </c>
      <c r="C185">
        <v>6020</v>
      </c>
      <c r="D185" t="s">
        <v>52</v>
      </c>
      <c r="E185" t="s">
        <v>39</v>
      </c>
      <c r="F185" s="4">
        <v>153331.20000000001</v>
      </c>
    </row>
    <row r="186" spans="1:6" hidden="1" x14ac:dyDescent="0.25">
      <c r="A186" t="s">
        <v>62</v>
      </c>
      <c r="B186" t="s">
        <v>46</v>
      </c>
      <c r="C186">
        <v>6100</v>
      </c>
      <c r="D186" t="s">
        <v>53</v>
      </c>
      <c r="E186" t="s">
        <v>47</v>
      </c>
      <c r="F186" s="4">
        <v>120000</v>
      </c>
    </row>
    <row r="187" spans="1:6" hidden="1" x14ac:dyDescent="0.25">
      <c r="A187" t="s">
        <v>62</v>
      </c>
      <c r="B187" t="s">
        <v>51</v>
      </c>
      <c r="C187">
        <v>6100</v>
      </c>
      <c r="D187" t="s">
        <v>53</v>
      </c>
      <c r="E187" t="s">
        <v>34</v>
      </c>
      <c r="F187" s="4">
        <v>55000</v>
      </c>
    </row>
    <row r="188" spans="1:6" hidden="1" x14ac:dyDescent="0.25">
      <c r="A188" t="s">
        <v>62</v>
      </c>
      <c r="B188" t="s">
        <v>44</v>
      </c>
      <c r="C188">
        <v>6400</v>
      </c>
      <c r="D188" t="s">
        <v>54</v>
      </c>
      <c r="E188" t="s">
        <v>39</v>
      </c>
      <c r="F188" s="4">
        <v>540000</v>
      </c>
    </row>
    <row r="189" spans="1:6" hidden="1" x14ac:dyDescent="0.25">
      <c r="A189" t="s">
        <v>62</v>
      </c>
      <c r="B189" t="s">
        <v>44</v>
      </c>
      <c r="C189">
        <v>6410</v>
      </c>
      <c r="D189" t="s">
        <v>55</v>
      </c>
      <c r="E189" t="s">
        <v>39</v>
      </c>
      <c r="F189" s="4">
        <v>55000</v>
      </c>
    </row>
    <row r="190" spans="1:6" hidden="1" x14ac:dyDescent="0.25">
      <c r="A190" t="s">
        <v>62</v>
      </c>
      <c r="B190" t="s">
        <v>48</v>
      </c>
      <c r="C190">
        <v>6500</v>
      </c>
      <c r="D190" t="s">
        <v>56</v>
      </c>
      <c r="E190" t="s">
        <v>49</v>
      </c>
      <c r="F190" s="4">
        <v>45000</v>
      </c>
    </row>
    <row r="191" spans="1:6" hidden="1" x14ac:dyDescent="0.25">
      <c r="A191" t="s">
        <v>62</v>
      </c>
      <c r="B191" t="s">
        <v>48</v>
      </c>
      <c r="C191">
        <v>6510</v>
      </c>
      <c r="D191" t="s">
        <v>57</v>
      </c>
      <c r="E191" t="s">
        <v>49</v>
      </c>
      <c r="F191" s="4">
        <v>30000</v>
      </c>
    </row>
    <row r="192" spans="1:6" hidden="1" x14ac:dyDescent="0.25">
      <c r="A192" t="s">
        <v>62</v>
      </c>
      <c r="B192" t="s">
        <v>48</v>
      </c>
      <c r="C192">
        <v>6600</v>
      </c>
      <c r="D192" t="s">
        <v>58</v>
      </c>
      <c r="E192" t="s">
        <v>49</v>
      </c>
      <c r="F192" s="4">
        <v>312000</v>
      </c>
    </row>
    <row r="193" spans="1:6" hidden="1" x14ac:dyDescent="0.25">
      <c r="A193" t="s">
        <v>62</v>
      </c>
      <c r="B193" t="s">
        <v>48</v>
      </c>
      <c r="C193">
        <v>6700</v>
      </c>
      <c r="D193" t="s">
        <v>59</v>
      </c>
      <c r="E193" t="s">
        <v>49</v>
      </c>
      <c r="F193" s="4">
        <v>144000</v>
      </c>
    </row>
    <row r="194" spans="1:6" hidden="1" x14ac:dyDescent="0.25">
      <c r="A194" t="s">
        <v>63</v>
      </c>
      <c r="B194" t="s">
        <v>31</v>
      </c>
      <c r="C194">
        <v>4000</v>
      </c>
      <c r="D194" t="s">
        <v>32</v>
      </c>
      <c r="E194" t="s">
        <v>31</v>
      </c>
      <c r="F194" s="4">
        <v>9469860</v>
      </c>
    </row>
    <row r="195" spans="1:6" x14ac:dyDescent="0.25">
      <c r="A195" t="s">
        <v>63</v>
      </c>
      <c r="B195" t="s">
        <v>31</v>
      </c>
      <c r="C195">
        <v>4100</v>
      </c>
      <c r="D195" t="s">
        <v>33</v>
      </c>
      <c r="E195" t="s">
        <v>31</v>
      </c>
      <c r="F195" s="4">
        <v>760000</v>
      </c>
    </row>
    <row r="196" spans="1:6" hidden="1" x14ac:dyDescent="0.25">
      <c r="A196" t="s">
        <v>63</v>
      </c>
      <c r="B196" t="s">
        <v>34</v>
      </c>
      <c r="C196">
        <v>5000</v>
      </c>
      <c r="D196" t="s">
        <v>35</v>
      </c>
      <c r="E196" t="s">
        <v>34</v>
      </c>
      <c r="F196" s="4">
        <v>899636.7</v>
      </c>
    </row>
    <row r="197" spans="1:6" hidden="1" x14ac:dyDescent="0.25">
      <c r="A197" t="s">
        <v>63</v>
      </c>
      <c r="B197" t="s">
        <v>34</v>
      </c>
      <c r="C197">
        <v>5300</v>
      </c>
      <c r="D197" t="s">
        <v>36</v>
      </c>
      <c r="E197" t="s">
        <v>34</v>
      </c>
      <c r="F197" s="4">
        <v>175000</v>
      </c>
    </row>
    <row r="198" spans="1:6" hidden="1" x14ac:dyDescent="0.25">
      <c r="A198" t="s">
        <v>63</v>
      </c>
      <c r="B198" t="s">
        <v>37</v>
      </c>
      <c r="C198">
        <v>6000</v>
      </c>
      <c r="D198" t="s">
        <v>38</v>
      </c>
      <c r="E198" t="s">
        <v>39</v>
      </c>
      <c r="F198" s="4">
        <v>844125</v>
      </c>
    </row>
    <row r="199" spans="1:6" hidden="1" x14ac:dyDescent="0.25">
      <c r="A199" t="s">
        <v>63</v>
      </c>
      <c r="B199" t="s">
        <v>37</v>
      </c>
      <c r="C199">
        <v>6010</v>
      </c>
      <c r="D199" t="s">
        <v>40</v>
      </c>
      <c r="E199" t="s">
        <v>39</v>
      </c>
      <c r="F199" s="4">
        <v>173045.63</v>
      </c>
    </row>
    <row r="200" spans="1:6" hidden="1" x14ac:dyDescent="0.25">
      <c r="A200" t="s">
        <v>63</v>
      </c>
      <c r="B200" t="s">
        <v>37</v>
      </c>
      <c r="C200">
        <v>6200</v>
      </c>
      <c r="D200" t="s">
        <v>41</v>
      </c>
      <c r="E200" t="s">
        <v>39</v>
      </c>
      <c r="F200" s="4">
        <v>26260</v>
      </c>
    </row>
    <row r="201" spans="1:6" hidden="1" x14ac:dyDescent="0.25">
      <c r="A201" t="s">
        <v>63</v>
      </c>
      <c r="B201" t="s">
        <v>37</v>
      </c>
      <c r="C201">
        <v>6300</v>
      </c>
      <c r="D201" t="s">
        <v>42</v>
      </c>
      <c r="E201" t="s">
        <v>39</v>
      </c>
      <c r="F201" s="4">
        <v>62620</v>
      </c>
    </row>
    <row r="202" spans="1:6" hidden="1" x14ac:dyDescent="0.25">
      <c r="A202" t="s">
        <v>63</v>
      </c>
      <c r="B202" t="s">
        <v>37</v>
      </c>
      <c r="C202">
        <v>6800</v>
      </c>
      <c r="D202" t="s">
        <v>43</v>
      </c>
      <c r="E202" t="s">
        <v>39</v>
      </c>
      <c r="F202" s="4">
        <v>17500</v>
      </c>
    </row>
    <row r="203" spans="1:6" hidden="1" x14ac:dyDescent="0.25">
      <c r="A203" t="s">
        <v>63</v>
      </c>
      <c r="B203" t="s">
        <v>44</v>
      </c>
      <c r="C203">
        <v>6000</v>
      </c>
      <c r="D203" t="s">
        <v>38</v>
      </c>
      <c r="E203" t="s">
        <v>39</v>
      </c>
      <c r="F203" s="4">
        <v>279291.67</v>
      </c>
    </row>
    <row r="204" spans="1:6" hidden="1" x14ac:dyDescent="0.25">
      <c r="A204" t="s">
        <v>63</v>
      </c>
      <c r="B204" t="s">
        <v>44</v>
      </c>
      <c r="C204">
        <v>6010</v>
      </c>
      <c r="D204" t="s">
        <v>40</v>
      </c>
      <c r="E204" t="s">
        <v>39</v>
      </c>
      <c r="F204" s="4">
        <v>57254.79</v>
      </c>
    </row>
    <row r="205" spans="1:6" hidden="1" x14ac:dyDescent="0.25">
      <c r="A205" t="s">
        <v>63</v>
      </c>
      <c r="B205" t="s">
        <v>44</v>
      </c>
      <c r="C205">
        <v>6200</v>
      </c>
      <c r="D205" t="s">
        <v>41</v>
      </c>
      <c r="E205" t="s">
        <v>39</v>
      </c>
      <c r="F205" s="4">
        <v>7800</v>
      </c>
    </row>
    <row r="206" spans="1:6" hidden="1" x14ac:dyDescent="0.25">
      <c r="A206" t="s">
        <v>63</v>
      </c>
      <c r="B206" t="s">
        <v>44</v>
      </c>
      <c r="C206">
        <v>6300</v>
      </c>
      <c r="D206" t="s">
        <v>42</v>
      </c>
      <c r="E206" t="s">
        <v>39</v>
      </c>
      <c r="F206" s="4">
        <v>9000</v>
      </c>
    </row>
    <row r="207" spans="1:6" hidden="1" x14ac:dyDescent="0.25">
      <c r="A207" t="s">
        <v>63</v>
      </c>
      <c r="B207" t="s">
        <v>44</v>
      </c>
      <c r="C207">
        <v>6800</v>
      </c>
      <c r="D207" t="s">
        <v>43</v>
      </c>
      <c r="E207" t="s">
        <v>39</v>
      </c>
      <c r="F207" s="4">
        <v>4000</v>
      </c>
    </row>
    <row r="208" spans="1:6" hidden="1" x14ac:dyDescent="0.25">
      <c r="A208" t="s">
        <v>63</v>
      </c>
      <c r="B208" t="s">
        <v>45</v>
      </c>
      <c r="C208">
        <v>6000</v>
      </c>
      <c r="D208" t="s">
        <v>38</v>
      </c>
      <c r="E208" t="s">
        <v>39</v>
      </c>
      <c r="F208" s="4">
        <v>302041.67</v>
      </c>
    </row>
    <row r="209" spans="1:6" hidden="1" x14ac:dyDescent="0.25">
      <c r="A209" t="s">
        <v>63</v>
      </c>
      <c r="B209" t="s">
        <v>45</v>
      </c>
      <c r="C209">
        <v>6010</v>
      </c>
      <c r="D209" t="s">
        <v>40</v>
      </c>
      <c r="E209" t="s">
        <v>39</v>
      </c>
      <c r="F209" s="4">
        <v>61918.54</v>
      </c>
    </row>
    <row r="210" spans="1:6" hidden="1" x14ac:dyDescent="0.25">
      <c r="A210" t="s">
        <v>63</v>
      </c>
      <c r="B210" t="s">
        <v>45</v>
      </c>
      <c r="C210">
        <v>6200</v>
      </c>
      <c r="D210" t="s">
        <v>41</v>
      </c>
      <c r="E210" t="s">
        <v>39</v>
      </c>
      <c r="F210" s="4">
        <v>10140</v>
      </c>
    </row>
    <row r="211" spans="1:6" hidden="1" x14ac:dyDescent="0.25">
      <c r="A211" t="s">
        <v>63</v>
      </c>
      <c r="B211" t="s">
        <v>45</v>
      </c>
      <c r="C211">
        <v>6300</v>
      </c>
      <c r="D211" t="s">
        <v>42</v>
      </c>
      <c r="E211" t="s">
        <v>39</v>
      </c>
      <c r="F211" s="4">
        <v>10140</v>
      </c>
    </row>
    <row r="212" spans="1:6" hidden="1" x14ac:dyDescent="0.25">
      <c r="A212" t="s">
        <v>63</v>
      </c>
      <c r="B212" t="s">
        <v>45</v>
      </c>
      <c r="C212">
        <v>6800</v>
      </c>
      <c r="D212" t="s">
        <v>43</v>
      </c>
      <c r="E212" t="s">
        <v>39</v>
      </c>
      <c r="F212" s="4">
        <v>4000</v>
      </c>
    </row>
    <row r="213" spans="1:6" hidden="1" x14ac:dyDescent="0.25">
      <c r="A213" t="s">
        <v>63</v>
      </c>
      <c r="B213" t="s">
        <v>46</v>
      </c>
      <c r="C213">
        <v>6000</v>
      </c>
      <c r="D213" t="s">
        <v>38</v>
      </c>
      <c r="E213" t="s">
        <v>47</v>
      </c>
      <c r="F213" s="4">
        <v>2238416.67</v>
      </c>
    </row>
    <row r="214" spans="1:6" hidden="1" x14ac:dyDescent="0.25">
      <c r="A214" t="s">
        <v>63</v>
      </c>
      <c r="B214" t="s">
        <v>46</v>
      </c>
      <c r="C214">
        <v>6010</v>
      </c>
      <c r="D214" t="s">
        <v>40</v>
      </c>
      <c r="E214" t="s">
        <v>47</v>
      </c>
      <c r="F214" s="4">
        <v>458875.42</v>
      </c>
    </row>
    <row r="215" spans="1:6" hidden="1" x14ac:dyDescent="0.25">
      <c r="A215" t="s">
        <v>63</v>
      </c>
      <c r="B215" t="s">
        <v>46</v>
      </c>
      <c r="C215">
        <v>6200</v>
      </c>
      <c r="D215" t="s">
        <v>41</v>
      </c>
      <c r="E215" t="s">
        <v>47</v>
      </c>
      <c r="F215" s="4">
        <v>42120</v>
      </c>
    </row>
    <row r="216" spans="1:6" hidden="1" x14ac:dyDescent="0.25">
      <c r="A216" t="s">
        <v>63</v>
      </c>
      <c r="B216" t="s">
        <v>46</v>
      </c>
      <c r="C216">
        <v>6300</v>
      </c>
      <c r="D216" t="s">
        <v>42</v>
      </c>
      <c r="E216" t="s">
        <v>47</v>
      </c>
      <c r="F216" s="4">
        <v>14580</v>
      </c>
    </row>
    <row r="217" spans="1:6" hidden="1" x14ac:dyDescent="0.25">
      <c r="A217" t="s">
        <v>63</v>
      </c>
      <c r="B217" t="s">
        <v>46</v>
      </c>
      <c r="C217">
        <v>6800</v>
      </c>
      <c r="D217" t="s">
        <v>43</v>
      </c>
      <c r="E217" t="s">
        <v>47</v>
      </c>
      <c r="F217" s="4">
        <v>31000</v>
      </c>
    </row>
    <row r="218" spans="1:6" hidden="1" x14ac:dyDescent="0.25">
      <c r="A218" t="s">
        <v>63</v>
      </c>
      <c r="B218" t="s">
        <v>48</v>
      </c>
      <c r="C218">
        <v>6000</v>
      </c>
      <c r="D218" t="s">
        <v>38</v>
      </c>
      <c r="E218" t="s">
        <v>49</v>
      </c>
      <c r="F218" s="4">
        <v>468833.33</v>
      </c>
    </row>
    <row r="219" spans="1:6" hidden="1" x14ac:dyDescent="0.25">
      <c r="A219" t="s">
        <v>63</v>
      </c>
      <c r="B219" t="s">
        <v>48</v>
      </c>
      <c r="C219">
        <v>6010</v>
      </c>
      <c r="D219" t="s">
        <v>40</v>
      </c>
      <c r="E219" t="s">
        <v>49</v>
      </c>
      <c r="F219" s="4">
        <v>96110.83</v>
      </c>
    </row>
    <row r="220" spans="1:6" hidden="1" x14ac:dyDescent="0.25">
      <c r="A220" t="s">
        <v>63</v>
      </c>
      <c r="B220" t="s">
        <v>48</v>
      </c>
      <c r="C220">
        <v>6200</v>
      </c>
      <c r="D220" t="s">
        <v>41</v>
      </c>
      <c r="E220" t="s">
        <v>49</v>
      </c>
      <c r="F220" s="4">
        <v>11440</v>
      </c>
    </row>
    <row r="221" spans="1:6" hidden="1" x14ac:dyDescent="0.25">
      <c r="A221" t="s">
        <v>63</v>
      </c>
      <c r="B221" t="s">
        <v>48</v>
      </c>
      <c r="C221">
        <v>6300</v>
      </c>
      <c r="D221" t="s">
        <v>42</v>
      </c>
      <c r="E221" t="s">
        <v>49</v>
      </c>
      <c r="F221" s="4">
        <v>3960</v>
      </c>
    </row>
    <row r="222" spans="1:6" hidden="1" x14ac:dyDescent="0.25">
      <c r="A222" t="s">
        <v>63</v>
      </c>
      <c r="B222" t="s">
        <v>48</v>
      </c>
      <c r="C222">
        <v>6800</v>
      </c>
      <c r="D222" t="s">
        <v>43</v>
      </c>
      <c r="E222" t="s">
        <v>49</v>
      </c>
      <c r="F222" s="4">
        <v>8500</v>
      </c>
    </row>
    <row r="223" spans="1:6" hidden="1" x14ac:dyDescent="0.25">
      <c r="A223" t="s">
        <v>63</v>
      </c>
      <c r="B223" t="s">
        <v>50</v>
      </c>
      <c r="C223">
        <v>6000</v>
      </c>
      <c r="D223" t="s">
        <v>38</v>
      </c>
      <c r="E223" t="s">
        <v>34</v>
      </c>
      <c r="F223" s="4">
        <v>258541.67</v>
      </c>
    </row>
    <row r="224" spans="1:6" hidden="1" x14ac:dyDescent="0.25">
      <c r="A224" t="s">
        <v>63</v>
      </c>
      <c r="B224" t="s">
        <v>50</v>
      </c>
      <c r="C224">
        <v>6010</v>
      </c>
      <c r="D224" t="s">
        <v>40</v>
      </c>
      <c r="E224" t="s">
        <v>34</v>
      </c>
      <c r="F224" s="4">
        <v>53001.04</v>
      </c>
    </row>
    <row r="225" spans="1:6" hidden="1" x14ac:dyDescent="0.25">
      <c r="A225" t="s">
        <v>63</v>
      </c>
      <c r="B225" t="s">
        <v>50</v>
      </c>
      <c r="C225">
        <v>6200</v>
      </c>
      <c r="D225" t="s">
        <v>41</v>
      </c>
      <c r="E225" t="s">
        <v>34</v>
      </c>
      <c r="F225" s="4">
        <v>11180</v>
      </c>
    </row>
    <row r="226" spans="1:6" hidden="1" x14ac:dyDescent="0.25">
      <c r="A226" t="s">
        <v>63</v>
      </c>
      <c r="B226" t="s">
        <v>50</v>
      </c>
      <c r="C226">
        <v>6300</v>
      </c>
      <c r="D226" t="s">
        <v>42</v>
      </c>
      <c r="E226" t="s">
        <v>34</v>
      </c>
      <c r="F226" s="4">
        <v>3870</v>
      </c>
    </row>
    <row r="227" spans="1:6" hidden="1" x14ac:dyDescent="0.25">
      <c r="A227" t="s">
        <v>63</v>
      </c>
      <c r="B227" t="s">
        <v>50</v>
      </c>
      <c r="C227">
        <v>6800</v>
      </c>
      <c r="D227" t="s">
        <v>43</v>
      </c>
      <c r="E227" t="s">
        <v>34</v>
      </c>
      <c r="F227" s="4">
        <v>4000</v>
      </c>
    </row>
    <row r="228" spans="1:6" hidden="1" x14ac:dyDescent="0.25">
      <c r="A228" t="s">
        <v>63</v>
      </c>
      <c r="B228" t="s">
        <v>51</v>
      </c>
      <c r="C228">
        <v>6000</v>
      </c>
      <c r="D228" t="s">
        <v>38</v>
      </c>
      <c r="E228" t="s">
        <v>34</v>
      </c>
      <c r="F228" s="4">
        <v>312333.33</v>
      </c>
    </row>
    <row r="229" spans="1:6" hidden="1" x14ac:dyDescent="0.25">
      <c r="A229" t="s">
        <v>63</v>
      </c>
      <c r="B229" t="s">
        <v>51</v>
      </c>
      <c r="C229">
        <v>6010</v>
      </c>
      <c r="D229" t="s">
        <v>40</v>
      </c>
      <c r="E229" t="s">
        <v>34</v>
      </c>
      <c r="F229" s="4">
        <v>64028.33</v>
      </c>
    </row>
    <row r="230" spans="1:6" hidden="1" x14ac:dyDescent="0.25">
      <c r="A230" t="s">
        <v>63</v>
      </c>
      <c r="B230" t="s">
        <v>51</v>
      </c>
      <c r="C230">
        <v>6200</v>
      </c>
      <c r="D230" t="s">
        <v>41</v>
      </c>
      <c r="E230" t="s">
        <v>34</v>
      </c>
      <c r="F230" s="4">
        <v>7800</v>
      </c>
    </row>
    <row r="231" spans="1:6" hidden="1" x14ac:dyDescent="0.25">
      <c r="A231" t="s">
        <v>63</v>
      </c>
      <c r="B231" t="s">
        <v>51</v>
      </c>
      <c r="C231">
        <v>6300</v>
      </c>
      <c r="D231" t="s">
        <v>42</v>
      </c>
      <c r="E231" t="s">
        <v>34</v>
      </c>
      <c r="F231" s="4">
        <v>16200</v>
      </c>
    </row>
    <row r="232" spans="1:6" hidden="1" x14ac:dyDescent="0.25">
      <c r="A232" t="s">
        <v>63</v>
      </c>
      <c r="B232" t="s">
        <v>51</v>
      </c>
      <c r="C232">
        <v>6800</v>
      </c>
      <c r="D232" t="s">
        <v>43</v>
      </c>
      <c r="E232" t="s">
        <v>34</v>
      </c>
      <c r="F232" s="4">
        <v>8500</v>
      </c>
    </row>
    <row r="233" spans="1:6" hidden="1" x14ac:dyDescent="0.25">
      <c r="A233" t="s">
        <v>63</v>
      </c>
      <c r="B233" t="s">
        <v>37</v>
      </c>
      <c r="C233">
        <v>6020</v>
      </c>
      <c r="D233" t="s">
        <v>52</v>
      </c>
      <c r="E233" t="s">
        <v>39</v>
      </c>
      <c r="F233" s="4">
        <v>209088</v>
      </c>
    </row>
    <row r="234" spans="1:6" hidden="1" x14ac:dyDescent="0.25">
      <c r="A234" t="s">
        <v>63</v>
      </c>
      <c r="B234" t="s">
        <v>46</v>
      </c>
      <c r="C234">
        <v>6100</v>
      </c>
      <c r="D234" t="s">
        <v>53</v>
      </c>
      <c r="E234" t="s">
        <v>47</v>
      </c>
      <c r="F234" s="4">
        <v>120000</v>
      </c>
    </row>
    <row r="235" spans="1:6" hidden="1" x14ac:dyDescent="0.25">
      <c r="A235" t="s">
        <v>63</v>
      </c>
      <c r="B235" t="s">
        <v>51</v>
      </c>
      <c r="C235">
        <v>6100</v>
      </c>
      <c r="D235" t="s">
        <v>53</v>
      </c>
      <c r="E235" t="s">
        <v>34</v>
      </c>
      <c r="F235" s="4">
        <v>55000</v>
      </c>
    </row>
    <row r="236" spans="1:6" hidden="1" x14ac:dyDescent="0.25">
      <c r="A236" t="s">
        <v>63</v>
      </c>
      <c r="B236" t="s">
        <v>44</v>
      </c>
      <c r="C236">
        <v>6400</v>
      </c>
      <c r="D236" t="s">
        <v>54</v>
      </c>
      <c r="E236" t="s">
        <v>39</v>
      </c>
      <c r="F236" s="4">
        <v>540000</v>
      </c>
    </row>
    <row r="237" spans="1:6" hidden="1" x14ac:dyDescent="0.25">
      <c r="A237" t="s">
        <v>63</v>
      </c>
      <c r="B237" t="s">
        <v>44</v>
      </c>
      <c r="C237">
        <v>6410</v>
      </c>
      <c r="D237" t="s">
        <v>55</v>
      </c>
      <c r="E237" t="s">
        <v>39</v>
      </c>
      <c r="F237" s="4">
        <v>180000</v>
      </c>
    </row>
    <row r="238" spans="1:6" hidden="1" x14ac:dyDescent="0.25">
      <c r="A238" t="s">
        <v>63</v>
      </c>
      <c r="B238" t="s">
        <v>48</v>
      </c>
      <c r="C238">
        <v>6500</v>
      </c>
      <c r="D238" t="s">
        <v>56</v>
      </c>
      <c r="E238" t="s">
        <v>49</v>
      </c>
      <c r="F238" s="4">
        <v>45000</v>
      </c>
    </row>
    <row r="239" spans="1:6" hidden="1" x14ac:dyDescent="0.25">
      <c r="A239" t="s">
        <v>63</v>
      </c>
      <c r="B239" t="s">
        <v>48</v>
      </c>
      <c r="C239">
        <v>6510</v>
      </c>
      <c r="D239" t="s">
        <v>57</v>
      </c>
      <c r="E239" t="s">
        <v>49</v>
      </c>
      <c r="F239" s="4">
        <v>30000</v>
      </c>
    </row>
    <row r="240" spans="1:6" hidden="1" x14ac:dyDescent="0.25">
      <c r="A240" t="s">
        <v>63</v>
      </c>
      <c r="B240" t="s">
        <v>48</v>
      </c>
      <c r="C240">
        <v>6600</v>
      </c>
      <c r="D240" t="s">
        <v>58</v>
      </c>
      <c r="E240" t="s">
        <v>49</v>
      </c>
      <c r="F240" s="4">
        <v>312000</v>
      </c>
    </row>
    <row r="241" spans="1:6" hidden="1" x14ac:dyDescent="0.25">
      <c r="A241" t="s">
        <v>63</v>
      </c>
      <c r="B241" t="s">
        <v>48</v>
      </c>
      <c r="C241">
        <v>6700</v>
      </c>
      <c r="D241" t="s">
        <v>59</v>
      </c>
      <c r="E241" t="s">
        <v>49</v>
      </c>
      <c r="F241" s="4">
        <v>145500</v>
      </c>
    </row>
    <row r="242" spans="1:6" hidden="1" x14ac:dyDescent="0.25">
      <c r="A242" t="s">
        <v>64</v>
      </c>
      <c r="B242" t="s">
        <v>31</v>
      </c>
      <c r="C242">
        <v>4000</v>
      </c>
      <c r="D242" t="s">
        <v>32</v>
      </c>
      <c r="E242" t="s">
        <v>31</v>
      </c>
      <c r="F242" s="4">
        <v>9638280</v>
      </c>
    </row>
    <row r="243" spans="1:6" x14ac:dyDescent="0.25">
      <c r="A243" t="s">
        <v>64</v>
      </c>
      <c r="B243" t="s">
        <v>31</v>
      </c>
      <c r="C243">
        <v>4100</v>
      </c>
      <c r="D243" t="s">
        <v>33</v>
      </c>
      <c r="E243" t="s">
        <v>31</v>
      </c>
      <c r="F243" s="4">
        <v>800000</v>
      </c>
    </row>
    <row r="244" spans="1:6" hidden="1" x14ac:dyDescent="0.25">
      <c r="A244" t="s">
        <v>64</v>
      </c>
      <c r="B244" t="s">
        <v>34</v>
      </c>
      <c r="C244">
        <v>5000</v>
      </c>
      <c r="D244" t="s">
        <v>35</v>
      </c>
      <c r="E244" t="s">
        <v>34</v>
      </c>
      <c r="F244" s="4">
        <v>915636.6</v>
      </c>
    </row>
    <row r="245" spans="1:6" hidden="1" x14ac:dyDescent="0.25">
      <c r="A245" t="s">
        <v>64</v>
      </c>
      <c r="B245" t="s">
        <v>34</v>
      </c>
      <c r="C245">
        <v>5300</v>
      </c>
      <c r="D245" t="s">
        <v>36</v>
      </c>
      <c r="E245" t="s">
        <v>34</v>
      </c>
      <c r="F245" s="4">
        <v>177000</v>
      </c>
    </row>
    <row r="246" spans="1:6" hidden="1" x14ac:dyDescent="0.25">
      <c r="A246" t="s">
        <v>64</v>
      </c>
      <c r="B246" t="s">
        <v>37</v>
      </c>
      <c r="C246">
        <v>6000</v>
      </c>
      <c r="D246" t="s">
        <v>38</v>
      </c>
      <c r="E246" t="s">
        <v>39</v>
      </c>
      <c r="F246" s="4">
        <v>853666.67</v>
      </c>
    </row>
    <row r="247" spans="1:6" hidden="1" x14ac:dyDescent="0.25">
      <c r="A247" t="s">
        <v>64</v>
      </c>
      <c r="B247" t="s">
        <v>37</v>
      </c>
      <c r="C247">
        <v>6010</v>
      </c>
      <c r="D247" t="s">
        <v>40</v>
      </c>
      <c r="E247" t="s">
        <v>39</v>
      </c>
      <c r="F247" s="4">
        <v>175001.67</v>
      </c>
    </row>
    <row r="248" spans="1:6" hidden="1" x14ac:dyDescent="0.25">
      <c r="A248" t="s">
        <v>64</v>
      </c>
      <c r="B248" t="s">
        <v>37</v>
      </c>
      <c r="C248">
        <v>6200</v>
      </c>
      <c r="D248" t="s">
        <v>41</v>
      </c>
      <c r="E248" t="s">
        <v>39</v>
      </c>
      <c r="F248" s="4">
        <v>26520</v>
      </c>
    </row>
    <row r="249" spans="1:6" hidden="1" x14ac:dyDescent="0.25">
      <c r="A249" t="s">
        <v>64</v>
      </c>
      <c r="B249" t="s">
        <v>37</v>
      </c>
      <c r="C249">
        <v>6300</v>
      </c>
      <c r="D249" t="s">
        <v>42</v>
      </c>
      <c r="E249" t="s">
        <v>39</v>
      </c>
      <c r="F249" s="4">
        <v>63240</v>
      </c>
    </row>
    <row r="250" spans="1:6" hidden="1" x14ac:dyDescent="0.25">
      <c r="A250" t="s">
        <v>64</v>
      </c>
      <c r="B250" t="s">
        <v>37</v>
      </c>
      <c r="C250">
        <v>6800</v>
      </c>
      <c r="D250" t="s">
        <v>43</v>
      </c>
      <c r="E250" t="s">
        <v>39</v>
      </c>
      <c r="F250" s="4">
        <v>17500</v>
      </c>
    </row>
    <row r="251" spans="1:6" hidden="1" x14ac:dyDescent="0.25">
      <c r="A251" t="s">
        <v>64</v>
      </c>
      <c r="B251" t="s">
        <v>44</v>
      </c>
      <c r="C251">
        <v>6000</v>
      </c>
      <c r="D251" t="s">
        <v>38</v>
      </c>
      <c r="E251" t="s">
        <v>39</v>
      </c>
      <c r="F251" s="4">
        <v>279291.67</v>
      </c>
    </row>
    <row r="252" spans="1:6" hidden="1" x14ac:dyDescent="0.25">
      <c r="A252" t="s">
        <v>64</v>
      </c>
      <c r="B252" t="s">
        <v>44</v>
      </c>
      <c r="C252">
        <v>6010</v>
      </c>
      <c r="D252" t="s">
        <v>40</v>
      </c>
      <c r="E252" t="s">
        <v>39</v>
      </c>
      <c r="F252" s="4">
        <v>57254.79</v>
      </c>
    </row>
    <row r="253" spans="1:6" hidden="1" x14ac:dyDescent="0.25">
      <c r="A253" t="s">
        <v>64</v>
      </c>
      <c r="B253" t="s">
        <v>44</v>
      </c>
      <c r="C253">
        <v>6200</v>
      </c>
      <c r="D253" t="s">
        <v>41</v>
      </c>
      <c r="E253" t="s">
        <v>39</v>
      </c>
      <c r="F253" s="4">
        <v>7800</v>
      </c>
    </row>
    <row r="254" spans="1:6" hidden="1" x14ac:dyDescent="0.25">
      <c r="A254" t="s">
        <v>64</v>
      </c>
      <c r="B254" t="s">
        <v>44</v>
      </c>
      <c r="C254">
        <v>6300</v>
      </c>
      <c r="D254" t="s">
        <v>42</v>
      </c>
      <c r="E254" t="s">
        <v>39</v>
      </c>
      <c r="F254" s="4">
        <v>9000</v>
      </c>
    </row>
    <row r="255" spans="1:6" hidden="1" x14ac:dyDescent="0.25">
      <c r="A255" t="s">
        <v>64</v>
      </c>
      <c r="B255" t="s">
        <v>44</v>
      </c>
      <c r="C255">
        <v>6800</v>
      </c>
      <c r="D255" t="s">
        <v>43</v>
      </c>
      <c r="E255" t="s">
        <v>39</v>
      </c>
      <c r="F255" s="4">
        <v>8500</v>
      </c>
    </row>
    <row r="256" spans="1:6" hidden="1" x14ac:dyDescent="0.25">
      <c r="A256" t="s">
        <v>64</v>
      </c>
      <c r="B256" t="s">
        <v>45</v>
      </c>
      <c r="C256">
        <v>6000</v>
      </c>
      <c r="D256" t="s">
        <v>38</v>
      </c>
      <c r="E256" t="s">
        <v>39</v>
      </c>
      <c r="F256" s="4">
        <v>302041.67</v>
      </c>
    </row>
    <row r="257" spans="1:6" hidden="1" x14ac:dyDescent="0.25">
      <c r="A257" t="s">
        <v>64</v>
      </c>
      <c r="B257" t="s">
        <v>45</v>
      </c>
      <c r="C257">
        <v>6010</v>
      </c>
      <c r="D257" t="s">
        <v>40</v>
      </c>
      <c r="E257" t="s">
        <v>39</v>
      </c>
      <c r="F257" s="4">
        <v>61918.54</v>
      </c>
    </row>
    <row r="258" spans="1:6" hidden="1" x14ac:dyDescent="0.25">
      <c r="A258" t="s">
        <v>64</v>
      </c>
      <c r="B258" t="s">
        <v>45</v>
      </c>
      <c r="C258">
        <v>6200</v>
      </c>
      <c r="D258" t="s">
        <v>41</v>
      </c>
      <c r="E258" t="s">
        <v>39</v>
      </c>
      <c r="F258" s="4">
        <v>10140</v>
      </c>
    </row>
    <row r="259" spans="1:6" hidden="1" x14ac:dyDescent="0.25">
      <c r="A259" t="s">
        <v>64</v>
      </c>
      <c r="B259" t="s">
        <v>45</v>
      </c>
      <c r="C259">
        <v>6300</v>
      </c>
      <c r="D259" t="s">
        <v>42</v>
      </c>
      <c r="E259" t="s">
        <v>39</v>
      </c>
      <c r="F259" s="4">
        <v>10140</v>
      </c>
    </row>
    <row r="260" spans="1:6" hidden="1" x14ac:dyDescent="0.25">
      <c r="A260" t="s">
        <v>64</v>
      </c>
      <c r="B260" t="s">
        <v>45</v>
      </c>
      <c r="C260">
        <v>6800</v>
      </c>
      <c r="D260" t="s">
        <v>43</v>
      </c>
      <c r="E260" t="s">
        <v>39</v>
      </c>
      <c r="F260" s="4">
        <v>8500</v>
      </c>
    </row>
    <row r="261" spans="1:6" hidden="1" x14ac:dyDescent="0.25">
      <c r="A261" t="s">
        <v>64</v>
      </c>
      <c r="B261" t="s">
        <v>46</v>
      </c>
      <c r="C261">
        <v>6000</v>
      </c>
      <c r="D261" t="s">
        <v>38</v>
      </c>
      <c r="E261" t="s">
        <v>47</v>
      </c>
      <c r="F261" s="4">
        <v>2291791.67</v>
      </c>
    </row>
    <row r="262" spans="1:6" hidden="1" x14ac:dyDescent="0.25">
      <c r="A262" t="s">
        <v>64</v>
      </c>
      <c r="B262" t="s">
        <v>46</v>
      </c>
      <c r="C262">
        <v>6010</v>
      </c>
      <c r="D262" t="s">
        <v>40</v>
      </c>
      <c r="E262" t="s">
        <v>47</v>
      </c>
      <c r="F262" s="4">
        <v>469817.29</v>
      </c>
    </row>
    <row r="263" spans="1:6" hidden="1" x14ac:dyDescent="0.25">
      <c r="A263" t="s">
        <v>64</v>
      </c>
      <c r="B263" t="s">
        <v>46</v>
      </c>
      <c r="C263">
        <v>6200</v>
      </c>
      <c r="D263" t="s">
        <v>41</v>
      </c>
      <c r="E263" t="s">
        <v>47</v>
      </c>
      <c r="F263" s="4">
        <v>43160</v>
      </c>
    </row>
    <row r="264" spans="1:6" hidden="1" x14ac:dyDescent="0.25">
      <c r="A264" t="s">
        <v>64</v>
      </c>
      <c r="B264" t="s">
        <v>46</v>
      </c>
      <c r="C264">
        <v>6300</v>
      </c>
      <c r="D264" t="s">
        <v>42</v>
      </c>
      <c r="E264" t="s">
        <v>47</v>
      </c>
      <c r="F264" s="4">
        <v>14940</v>
      </c>
    </row>
    <row r="265" spans="1:6" hidden="1" x14ac:dyDescent="0.25">
      <c r="A265" t="s">
        <v>64</v>
      </c>
      <c r="B265" t="s">
        <v>46</v>
      </c>
      <c r="C265">
        <v>6800</v>
      </c>
      <c r="D265" t="s">
        <v>43</v>
      </c>
      <c r="E265" t="s">
        <v>47</v>
      </c>
      <c r="F265" s="4">
        <v>31000</v>
      </c>
    </row>
    <row r="266" spans="1:6" hidden="1" x14ac:dyDescent="0.25">
      <c r="A266" t="s">
        <v>64</v>
      </c>
      <c r="B266" t="s">
        <v>48</v>
      </c>
      <c r="C266">
        <v>6000</v>
      </c>
      <c r="D266" t="s">
        <v>38</v>
      </c>
      <c r="E266" t="s">
        <v>49</v>
      </c>
      <c r="F266" s="4">
        <v>476333.33</v>
      </c>
    </row>
    <row r="267" spans="1:6" hidden="1" x14ac:dyDescent="0.25">
      <c r="A267" t="s">
        <v>64</v>
      </c>
      <c r="B267" t="s">
        <v>48</v>
      </c>
      <c r="C267">
        <v>6010</v>
      </c>
      <c r="D267" t="s">
        <v>40</v>
      </c>
      <c r="E267" t="s">
        <v>49</v>
      </c>
      <c r="F267" s="4">
        <v>97648.33</v>
      </c>
    </row>
    <row r="268" spans="1:6" hidden="1" x14ac:dyDescent="0.25">
      <c r="A268" t="s">
        <v>64</v>
      </c>
      <c r="B268" t="s">
        <v>48</v>
      </c>
      <c r="C268">
        <v>6200</v>
      </c>
      <c r="D268" t="s">
        <v>41</v>
      </c>
      <c r="E268" t="s">
        <v>49</v>
      </c>
      <c r="F268" s="4">
        <v>11700</v>
      </c>
    </row>
    <row r="269" spans="1:6" hidden="1" x14ac:dyDescent="0.25">
      <c r="A269" t="s">
        <v>64</v>
      </c>
      <c r="B269" t="s">
        <v>48</v>
      </c>
      <c r="C269">
        <v>6300</v>
      </c>
      <c r="D269" t="s">
        <v>42</v>
      </c>
      <c r="E269" t="s">
        <v>49</v>
      </c>
      <c r="F269" s="4">
        <v>4050</v>
      </c>
    </row>
    <row r="270" spans="1:6" hidden="1" x14ac:dyDescent="0.25">
      <c r="A270" t="s">
        <v>64</v>
      </c>
      <c r="B270" t="s">
        <v>48</v>
      </c>
      <c r="C270">
        <v>6800</v>
      </c>
      <c r="D270" t="s">
        <v>43</v>
      </c>
      <c r="E270" t="s">
        <v>49</v>
      </c>
      <c r="F270" s="4">
        <v>13000</v>
      </c>
    </row>
    <row r="271" spans="1:6" hidden="1" x14ac:dyDescent="0.25">
      <c r="A271" t="s">
        <v>64</v>
      </c>
      <c r="B271" t="s">
        <v>50</v>
      </c>
      <c r="C271">
        <v>6000</v>
      </c>
      <c r="D271" t="s">
        <v>38</v>
      </c>
      <c r="E271" t="s">
        <v>34</v>
      </c>
      <c r="F271" s="4">
        <v>258541.67</v>
      </c>
    </row>
    <row r="272" spans="1:6" hidden="1" x14ac:dyDescent="0.25">
      <c r="A272" t="s">
        <v>64</v>
      </c>
      <c r="B272" t="s">
        <v>50</v>
      </c>
      <c r="C272">
        <v>6010</v>
      </c>
      <c r="D272" t="s">
        <v>40</v>
      </c>
      <c r="E272" t="s">
        <v>34</v>
      </c>
      <c r="F272" s="4">
        <v>53001.04</v>
      </c>
    </row>
    <row r="273" spans="1:6" hidden="1" x14ac:dyDescent="0.25">
      <c r="A273" t="s">
        <v>64</v>
      </c>
      <c r="B273" t="s">
        <v>50</v>
      </c>
      <c r="C273">
        <v>6200</v>
      </c>
      <c r="D273" t="s">
        <v>41</v>
      </c>
      <c r="E273" t="s">
        <v>34</v>
      </c>
      <c r="F273" s="4">
        <v>11180</v>
      </c>
    </row>
    <row r="274" spans="1:6" hidden="1" x14ac:dyDescent="0.25">
      <c r="A274" t="s">
        <v>64</v>
      </c>
      <c r="B274" t="s">
        <v>50</v>
      </c>
      <c r="C274">
        <v>6300</v>
      </c>
      <c r="D274" t="s">
        <v>42</v>
      </c>
      <c r="E274" t="s">
        <v>34</v>
      </c>
      <c r="F274" s="4">
        <v>3870</v>
      </c>
    </row>
    <row r="275" spans="1:6" hidden="1" x14ac:dyDescent="0.25">
      <c r="A275" t="s">
        <v>64</v>
      </c>
      <c r="B275" t="s">
        <v>50</v>
      </c>
      <c r="C275">
        <v>6800</v>
      </c>
      <c r="D275" t="s">
        <v>43</v>
      </c>
      <c r="E275" t="s">
        <v>34</v>
      </c>
      <c r="F275" s="4">
        <v>8500</v>
      </c>
    </row>
    <row r="276" spans="1:6" hidden="1" x14ac:dyDescent="0.25">
      <c r="A276" t="s">
        <v>64</v>
      </c>
      <c r="B276" t="s">
        <v>51</v>
      </c>
      <c r="C276">
        <v>6000</v>
      </c>
      <c r="D276" t="s">
        <v>38</v>
      </c>
      <c r="E276" t="s">
        <v>34</v>
      </c>
      <c r="F276" s="4">
        <v>321916.67</v>
      </c>
    </row>
    <row r="277" spans="1:6" hidden="1" x14ac:dyDescent="0.25">
      <c r="A277" t="s">
        <v>64</v>
      </c>
      <c r="B277" t="s">
        <v>51</v>
      </c>
      <c r="C277">
        <v>6010</v>
      </c>
      <c r="D277" t="s">
        <v>40</v>
      </c>
      <c r="E277" t="s">
        <v>34</v>
      </c>
      <c r="F277" s="4">
        <v>65992.92</v>
      </c>
    </row>
    <row r="278" spans="1:6" hidden="1" x14ac:dyDescent="0.25">
      <c r="A278" t="s">
        <v>64</v>
      </c>
      <c r="B278" t="s">
        <v>51</v>
      </c>
      <c r="C278">
        <v>6200</v>
      </c>
      <c r="D278" t="s">
        <v>41</v>
      </c>
      <c r="E278" t="s">
        <v>34</v>
      </c>
      <c r="F278" s="4">
        <v>8060</v>
      </c>
    </row>
    <row r="279" spans="1:6" hidden="1" x14ac:dyDescent="0.25">
      <c r="A279" t="s">
        <v>64</v>
      </c>
      <c r="B279" t="s">
        <v>51</v>
      </c>
      <c r="C279">
        <v>6300</v>
      </c>
      <c r="D279" t="s">
        <v>42</v>
      </c>
      <c r="E279" t="s">
        <v>34</v>
      </c>
      <c r="F279" s="4">
        <v>16740</v>
      </c>
    </row>
    <row r="280" spans="1:6" hidden="1" x14ac:dyDescent="0.25">
      <c r="A280" t="s">
        <v>64</v>
      </c>
      <c r="B280" t="s">
        <v>51</v>
      </c>
      <c r="C280">
        <v>6800</v>
      </c>
      <c r="D280" t="s">
        <v>43</v>
      </c>
      <c r="E280" t="s">
        <v>34</v>
      </c>
      <c r="F280" s="4">
        <v>13000</v>
      </c>
    </row>
    <row r="281" spans="1:6" hidden="1" x14ac:dyDescent="0.25">
      <c r="A281" t="s">
        <v>64</v>
      </c>
      <c r="B281" t="s">
        <v>37</v>
      </c>
      <c r="C281">
        <v>6020</v>
      </c>
      <c r="D281" t="s">
        <v>52</v>
      </c>
      <c r="E281" t="s">
        <v>39</v>
      </c>
      <c r="F281" s="4">
        <v>334540.79999999999</v>
      </c>
    </row>
    <row r="282" spans="1:6" hidden="1" x14ac:dyDescent="0.25">
      <c r="A282" t="s">
        <v>64</v>
      </c>
      <c r="B282" t="s">
        <v>46</v>
      </c>
      <c r="C282">
        <v>6100</v>
      </c>
      <c r="D282" t="s">
        <v>53</v>
      </c>
      <c r="E282" t="s">
        <v>47</v>
      </c>
      <c r="F282" s="4">
        <v>120000</v>
      </c>
    </row>
    <row r="283" spans="1:6" hidden="1" x14ac:dyDescent="0.25">
      <c r="A283" t="s">
        <v>64</v>
      </c>
      <c r="B283" t="s">
        <v>51</v>
      </c>
      <c r="C283">
        <v>6100</v>
      </c>
      <c r="D283" t="s">
        <v>53</v>
      </c>
      <c r="E283" t="s">
        <v>34</v>
      </c>
      <c r="F283" s="4">
        <v>55000</v>
      </c>
    </row>
    <row r="284" spans="1:6" hidden="1" x14ac:dyDescent="0.25">
      <c r="A284" t="s">
        <v>64</v>
      </c>
      <c r="B284" t="s">
        <v>44</v>
      </c>
      <c r="C284">
        <v>6400</v>
      </c>
      <c r="D284" t="s">
        <v>54</v>
      </c>
      <c r="E284" t="s">
        <v>39</v>
      </c>
      <c r="F284" s="4">
        <v>540000</v>
      </c>
    </row>
    <row r="285" spans="1:6" hidden="1" x14ac:dyDescent="0.25">
      <c r="A285" t="s">
        <v>64</v>
      </c>
      <c r="B285" t="s">
        <v>44</v>
      </c>
      <c r="C285">
        <v>6410</v>
      </c>
      <c r="D285" t="s">
        <v>55</v>
      </c>
      <c r="E285" t="s">
        <v>39</v>
      </c>
      <c r="F285" s="4">
        <v>55000</v>
      </c>
    </row>
    <row r="286" spans="1:6" hidden="1" x14ac:dyDescent="0.25">
      <c r="A286" t="s">
        <v>64</v>
      </c>
      <c r="B286" t="s">
        <v>48</v>
      </c>
      <c r="C286">
        <v>6500</v>
      </c>
      <c r="D286" t="s">
        <v>56</v>
      </c>
      <c r="E286" t="s">
        <v>49</v>
      </c>
      <c r="F286" s="4">
        <v>45000</v>
      </c>
    </row>
    <row r="287" spans="1:6" hidden="1" x14ac:dyDescent="0.25">
      <c r="A287" t="s">
        <v>64</v>
      </c>
      <c r="B287" t="s">
        <v>48</v>
      </c>
      <c r="C287">
        <v>6510</v>
      </c>
      <c r="D287" t="s">
        <v>57</v>
      </c>
      <c r="E287" t="s">
        <v>49</v>
      </c>
      <c r="F287" s="4">
        <v>30000</v>
      </c>
    </row>
    <row r="288" spans="1:6" hidden="1" x14ac:dyDescent="0.25">
      <c r="A288" t="s">
        <v>64</v>
      </c>
      <c r="B288" t="s">
        <v>48</v>
      </c>
      <c r="C288">
        <v>6600</v>
      </c>
      <c r="D288" t="s">
        <v>58</v>
      </c>
      <c r="E288" t="s">
        <v>49</v>
      </c>
      <c r="F288" s="4">
        <v>312000</v>
      </c>
    </row>
    <row r="289" spans="1:6" hidden="1" x14ac:dyDescent="0.25">
      <c r="A289" t="s">
        <v>64</v>
      </c>
      <c r="B289" t="s">
        <v>48</v>
      </c>
      <c r="C289">
        <v>6700</v>
      </c>
      <c r="D289" t="s">
        <v>59</v>
      </c>
      <c r="E289" t="s">
        <v>49</v>
      </c>
      <c r="F289" s="4">
        <v>147000</v>
      </c>
    </row>
    <row r="290" spans="1:6" hidden="1" x14ac:dyDescent="0.25">
      <c r="A290" t="s">
        <v>65</v>
      </c>
      <c r="B290" t="s">
        <v>31</v>
      </c>
      <c r="C290">
        <v>4000</v>
      </c>
      <c r="D290" t="s">
        <v>32</v>
      </c>
      <c r="E290" t="s">
        <v>31</v>
      </c>
      <c r="F290" s="4">
        <v>9790420</v>
      </c>
    </row>
    <row r="291" spans="1:6" x14ac:dyDescent="0.25">
      <c r="A291" t="s">
        <v>65</v>
      </c>
      <c r="B291" t="s">
        <v>31</v>
      </c>
      <c r="C291">
        <v>4100</v>
      </c>
      <c r="D291" t="s">
        <v>33</v>
      </c>
      <c r="E291" t="s">
        <v>31</v>
      </c>
      <c r="F291" s="4">
        <v>770000</v>
      </c>
    </row>
    <row r="292" spans="1:6" hidden="1" x14ac:dyDescent="0.25">
      <c r="A292" t="s">
        <v>65</v>
      </c>
      <c r="B292" t="s">
        <v>34</v>
      </c>
      <c r="C292">
        <v>5000</v>
      </c>
      <c r="D292" t="s">
        <v>35</v>
      </c>
      <c r="E292" t="s">
        <v>34</v>
      </c>
      <c r="F292" s="4">
        <v>930089.9</v>
      </c>
    </row>
    <row r="293" spans="1:6" hidden="1" x14ac:dyDescent="0.25">
      <c r="A293" t="s">
        <v>65</v>
      </c>
      <c r="B293" t="s">
        <v>34</v>
      </c>
      <c r="C293">
        <v>5300</v>
      </c>
      <c r="D293" t="s">
        <v>36</v>
      </c>
      <c r="E293" t="s">
        <v>34</v>
      </c>
      <c r="F293" s="4">
        <v>179000</v>
      </c>
    </row>
    <row r="294" spans="1:6" hidden="1" x14ac:dyDescent="0.25">
      <c r="A294" t="s">
        <v>65</v>
      </c>
      <c r="B294" t="s">
        <v>37</v>
      </c>
      <c r="C294">
        <v>6000</v>
      </c>
      <c r="D294" t="s">
        <v>38</v>
      </c>
      <c r="E294" t="s">
        <v>39</v>
      </c>
      <c r="F294" s="4">
        <v>868916.67</v>
      </c>
    </row>
    <row r="295" spans="1:6" hidden="1" x14ac:dyDescent="0.25">
      <c r="A295" t="s">
        <v>65</v>
      </c>
      <c r="B295" t="s">
        <v>37</v>
      </c>
      <c r="C295">
        <v>6010</v>
      </c>
      <c r="D295" t="s">
        <v>40</v>
      </c>
      <c r="E295" t="s">
        <v>39</v>
      </c>
      <c r="F295" s="4">
        <v>178127.92</v>
      </c>
    </row>
    <row r="296" spans="1:6" hidden="1" x14ac:dyDescent="0.25">
      <c r="A296" t="s">
        <v>65</v>
      </c>
      <c r="B296" t="s">
        <v>37</v>
      </c>
      <c r="C296">
        <v>6200</v>
      </c>
      <c r="D296" t="s">
        <v>41</v>
      </c>
      <c r="E296" t="s">
        <v>39</v>
      </c>
      <c r="F296" s="4">
        <v>27040</v>
      </c>
    </row>
    <row r="297" spans="1:6" hidden="1" x14ac:dyDescent="0.25">
      <c r="A297" t="s">
        <v>65</v>
      </c>
      <c r="B297" t="s">
        <v>37</v>
      </c>
      <c r="C297">
        <v>6300</v>
      </c>
      <c r="D297" t="s">
        <v>42</v>
      </c>
      <c r="E297" t="s">
        <v>39</v>
      </c>
      <c r="F297" s="4">
        <v>64480</v>
      </c>
    </row>
    <row r="298" spans="1:6" hidden="1" x14ac:dyDescent="0.25">
      <c r="A298" t="s">
        <v>65</v>
      </c>
      <c r="B298" t="s">
        <v>37</v>
      </c>
      <c r="C298">
        <v>6800</v>
      </c>
      <c r="D298" t="s">
        <v>43</v>
      </c>
      <c r="E298" t="s">
        <v>39</v>
      </c>
      <c r="F298" s="4">
        <v>22000</v>
      </c>
    </row>
    <row r="299" spans="1:6" hidden="1" x14ac:dyDescent="0.25">
      <c r="A299" t="s">
        <v>65</v>
      </c>
      <c r="B299" t="s">
        <v>44</v>
      </c>
      <c r="C299">
        <v>6000</v>
      </c>
      <c r="D299" t="s">
        <v>38</v>
      </c>
      <c r="E299" t="s">
        <v>39</v>
      </c>
      <c r="F299" s="4">
        <v>291041.67</v>
      </c>
    </row>
    <row r="300" spans="1:6" hidden="1" x14ac:dyDescent="0.25">
      <c r="A300" t="s">
        <v>65</v>
      </c>
      <c r="B300" t="s">
        <v>44</v>
      </c>
      <c r="C300">
        <v>6010</v>
      </c>
      <c r="D300" t="s">
        <v>40</v>
      </c>
      <c r="E300" t="s">
        <v>39</v>
      </c>
      <c r="F300" s="4">
        <v>59663.54</v>
      </c>
    </row>
    <row r="301" spans="1:6" hidden="1" x14ac:dyDescent="0.25">
      <c r="A301" t="s">
        <v>65</v>
      </c>
      <c r="B301" t="s">
        <v>44</v>
      </c>
      <c r="C301">
        <v>6200</v>
      </c>
      <c r="D301" t="s">
        <v>41</v>
      </c>
      <c r="E301" t="s">
        <v>39</v>
      </c>
      <c r="F301" s="4">
        <v>8060</v>
      </c>
    </row>
    <row r="302" spans="1:6" hidden="1" x14ac:dyDescent="0.25">
      <c r="A302" t="s">
        <v>65</v>
      </c>
      <c r="B302" t="s">
        <v>44</v>
      </c>
      <c r="C302">
        <v>6300</v>
      </c>
      <c r="D302" t="s">
        <v>42</v>
      </c>
      <c r="E302" t="s">
        <v>39</v>
      </c>
      <c r="F302" s="4">
        <v>9300</v>
      </c>
    </row>
    <row r="303" spans="1:6" hidden="1" x14ac:dyDescent="0.25">
      <c r="A303" t="s">
        <v>65</v>
      </c>
      <c r="B303" t="s">
        <v>44</v>
      </c>
      <c r="C303">
        <v>6800</v>
      </c>
      <c r="D303" t="s">
        <v>43</v>
      </c>
      <c r="E303" t="s">
        <v>39</v>
      </c>
      <c r="F303" s="4">
        <v>8500</v>
      </c>
    </row>
    <row r="304" spans="1:6" hidden="1" x14ac:dyDescent="0.25">
      <c r="A304" t="s">
        <v>65</v>
      </c>
      <c r="B304" t="s">
        <v>45</v>
      </c>
      <c r="C304">
        <v>6000</v>
      </c>
      <c r="D304" t="s">
        <v>38</v>
      </c>
      <c r="E304" t="s">
        <v>39</v>
      </c>
      <c r="F304" s="4">
        <v>309875</v>
      </c>
    </row>
    <row r="305" spans="1:6" hidden="1" x14ac:dyDescent="0.25">
      <c r="A305" t="s">
        <v>65</v>
      </c>
      <c r="B305" t="s">
        <v>45</v>
      </c>
      <c r="C305">
        <v>6010</v>
      </c>
      <c r="D305" t="s">
        <v>40</v>
      </c>
      <c r="E305" t="s">
        <v>39</v>
      </c>
      <c r="F305" s="4">
        <v>63524.37</v>
      </c>
    </row>
    <row r="306" spans="1:6" hidden="1" x14ac:dyDescent="0.25">
      <c r="A306" t="s">
        <v>65</v>
      </c>
      <c r="B306" t="s">
        <v>45</v>
      </c>
      <c r="C306">
        <v>6200</v>
      </c>
      <c r="D306" t="s">
        <v>41</v>
      </c>
      <c r="E306" t="s">
        <v>39</v>
      </c>
      <c r="F306" s="4">
        <v>10400</v>
      </c>
    </row>
    <row r="307" spans="1:6" hidden="1" x14ac:dyDescent="0.25">
      <c r="A307" t="s">
        <v>65</v>
      </c>
      <c r="B307" t="s">
        <v>45</v>
      </c>
      <c r="C307">
        <v>6300</v>
      </c>
      <c r="D307" t="s">
        <v>42</v>
      </c>
      <c r="E307" t="s">
        <v>39</v>
      </c>
      <c r="F307" s="4">
        <v>10400</v>
      </c>
    </row>
    <row r="308" spans="1:6" hidden="1" x14ac:dyDescent="0.25">
      <c r="A308" t="s">
        <v>65</v>
      </c>
      <c r="B308" t="s">
        <v>45</v>
      </c>
      <c r="C308">
        <v>6800</v>
      </c>
      <c r="D308" t="s">
        <v>43</v>
      </c>
      <c r="E308" t="s">
        <v>39</v>
      </c>
      <c r="F308" s="4">
        <v>13000</v>
      </c>
    </row>
    <row r="309" spans="1:6" hidden="1" x14ac:dyDescent="0.25">
      <c r="A309" t="s">
        <v>65</v>
      </c>
      <c r="B309" t="s">
        <v>46</v>
      </c>
      <c r="C309">
        <v>6000</v>
      </c>
      <c r="D309" t="s">
        <v>38</v>
      </c>
      <c r="E309" t="s">
        <v>47</v>
      </c>
      <c r="F309" s="4">
        <v>2316625</v>
      </c>
    </row>
    <row r="310" spans="1:6" hidden="1" x14ac:dyDescent="0.25">
      <c r="A310" t="s">
        <v>65</v>
      </c>
      <c r="B310" t="s">
        <v>46</v>
      </c>
      <c r="C310">
        <v>6010</v>
      </c>
      <c r="D310" t="s">
        <v>40</v>
      </c>
      <c r="E310" t="s">
        <v>47</v>
      </c>
      <c r="F310" s="4">
        <v>474908.13</v>
      </c>
    </row>
    <row r="311" spans="1:6" hidden="1" x14ac:dyDescent="0.25">
      <c r="A311" t="s">
        <v>65</v>
      </c>
      <c r="B311" t="s">
        <v>46</v>
      </c>
      <c r="C311">
        <v>6200</v>
      </c>
      <c r="D311" t="s">
        <v>41</v>
      </c>
      <c r="E311" t="s">
        <v>47</v>
      </c>
      <c r="F311" s="4">
        <v>43680</v>
      </c>
    </row>
    <row r="312" spans="1:6" hidden="1" x14ac:dyDescent="0.25">
      <c r="A312" t="s">
        <v>65</v>
      </c>
      <c r="B312" t="s">
        <v>46</v>
      </c>
      <c r="C312">
        <v>6300</v>
      </c>
      <c r="D312" t="s">
        <v>42</v>
      </c>
      <c r="E312" t="s">
        <v>47</v>
      </c>
      <c r="F312" s="4">
        <v>15120</v>
      </c>
    </row>
    <row r="313" spans="1:6" hidden="1" x14ac:dyDescent="0.25">
      <c r="A313" t="s">
        <v>65</v>
      </c>
      <c r="B313" t="s">
        <v>46</v>
      </c>
      <c r="C313">
        <v>6800</v>
      </c>
      <c r="D313" t="s">
        <v>43</v>
      </c>
      <c r="E313" t="s">
        <v>47</v>
      </c>
      <c r="F313" s="4">
        <v>31000</v>
      </c>
    </row>
    <row r="314" spans="1:6" hidden="1" x14ac:dyDescent="0.25">
      <c r="A314" t="s">
        <v>65</v>
      </c>
      <c r="B314" t="s">
        <v>48</v>
      </c>
      <c r="C314">
        <v>6000</v>
      </c>
      <c r="D314" t="s">
        <v>38</v>
      </c>
      <c r="E314" t="s">
        <v>49</v>
      </c>
      <c r="F314" s="4">
        <v>484500</v>
      </c>
    </row>
    <row r="315" spans="1:6" hidden="1" x14ac:dyDescent="0.25">
      <c r="A315" t="s">
        <v>65</v>
      </c>
      <c r="B315" t="s">
        <v>48</v>
      </c>
      <c r="C315">
        <v>6010</v>
      </c>
      <c r="D315" t="s">
        <v>40</v>
      </c>
      <c r="E315" t="s">
        <v>49</v>
      </c>
      <c r="F315" s="4">
        <v>99322.5</v>
      </c>
    </row>
    <row r="316" spans="1:6" hidden="1" x14ac:dyDescent="0.25">
      <c r="A316" t="s">
        <v>65</v>
      </c>
      <c r="B316" t="s">
        <v>48</v>
      </c>
      <c r="C316">
        <v>6200</v>
      </c>
      <c r="D316" t="s">
        <v>41</v>
      </c>
      <c r="E316" t="s">
        <v>49</v>
      </c>
      <c r="F316" s="4">
        <v>11960</v>
      </c>
    </row>
    <row r="317" spans="1:6" hidden="1" x14ac:dyDescent="0.25">
      <c r="A317" t="s">
        <v>65</v>
      </c>
      <c r="B317" t="s">
        <v>48</v>
      </c>
      <c r="C317">
        <v>6300</v>
      </c>
      <c r="D317" t="s">
        <v>42</v>
      </c>
      <c r="E317" t="s">
        <v>49</v>
      </c>
      <c r="F317" s="4">
        <v>4140</v>
      </c>
    </row>
    <row r="318" spans="1:6" hidden="1" x14ac:dyDescent="0.25">
      <c r="A318" t="s">
        <v>65</v>
      </c>
      <c r="B318" t="s">
        <v>48</v>
      </c>
      <c r="C318">
        <v>6800</v>
      </c>
      <c r="D318" t="s">
        <v>43</v>
      </c>
      <c r="E318" t="s">
        <v>49</v>
      </c>
      <c r="F318" s="4">
        <v>8500</v>
      </c>
    </row>
    <row r="319" spans="1:6" hidden="1" x14ac:dyDescent="0.25">
      <c r="A319" t="s">
        <v>65</v>
      </c>
      <c r="B319" t="s">
        <v>50</v>
      </c>
      <c r="C319">
        <v>6000</v>
      </c>
      <c r="D319" t="s">
        <v>38</v>
      </c>
      <c r="E319" t="s">
        <v>34</v>
      </c>
      <c r="F319" s="4">
        <v>264958.33</v>
      </c>
    </row>
    <row r="320" spans="1:6" hidden="1" x14ac:dyDescent="0.25">
      <c r="A320" t="s">
        <v>65</v>
      </c>
      <c r="B320" t="s">
        <v>50</v>
      </c>
      <c r="C320">
        <v>6010</v>
      </c>
      <c r="D320" t="s">
        <v>40</v>
      </c>
      <c r="E320" t="s">
        <v>34</v>
      </c>
      <c r="F320" s="4">
        <v>54316.46</v>
      </c>
    </row>
    <row r="321" spans="1:6" hidden="1" x14ac:dyDescent="0.25">
      <c r="A321" t="s">
        <v>65</v>
      </c>
      <c r="B321" t="s">
        <v>50</v>
      </c>
      <c r="C321">
        <v>6200</v>
      </c>
      <c r="D321" t="s">
        <v>41</v>
      </c>
      <c r="E321" t="s">
        <v>34</v>
      </c>
      <c r="F321" s="4">
        <v>11440</v>
      </c>
    </row>
    <row r="322" spans="1:6" hidden="1" x14ac:dyDescent="0.25">
      <c r="A322" t="s">
        <v>65</v>
      </c>
      <c r="B322" t="s">
        <v>50</v>
      </c>
      <c r="C322">
        <v>6300</v>
      </c>
      <c r="D322" t="s">
        <v>42</v>
      </c>
      <c r="E322" t="s">
        <v>34</v>
      </c>
      <c r="F322" s="4">
        <v>3960</v>
      </c>
    </row>
    <row r="323" spans="1:6" hidden="1" x14ac:dyDescent="0.25">
      <c r="A323" t="s">
        <v>65</v>
      </c>
      <c r="B323" t="s">
        <v>50</v>
      </c>
      <c r="C323">
        <v>6800</v>
      </c>
      <c r="D323" t="s">
        <v>43</v>
      </c>
      <c r="E323" t="s">
        <v>34</v>
      </c>
      <c r="F323" s="4">
        <v>13000</v>
      </c>
    </row>
    <row r="324" spans="1:6" hidden="1" x14ac:dyDescent="0.25">
      <c r="A324" t="s">
        <v>65</v>
      </c>
      <c r="B324" t="s">
        <v>51</v>
      </c>
      <c r="C324">
        <v>6000</v>
      </c>
      <c r="D324" t="s">
        <v>38</v>
      </c>
      <c r="E324" t="s">
        <v>34</v>
      </c>
      <c r="F324" s="4">
        <v>331625</v>
      </c>
    </row>
    <row r="325" spans="1:6" hidden="1" x14ac:dyDescent="0.25">
      <c r="A325" t="s">
        <v>65</v>
      </c>
      <c r="B325" t="s">
        <v>51</v>
      </c>
      <c r="C325">
        <v>6010</v>
      </c>
      <c r="D325" t="s">
        <v>40</v>
      </c>
      <c r="E325" t="s">
        <v>34</v>
      </c>
      <c r="F325" s="4">
        <v>67983.12</v>
      </c>
    </row>
    <row r="326" spans="1:6" hidden="1" x14ac:dyDescent="0.25">
      <c r="A326" t="s">
        <v>65</v>
      </c>
      <c r="B326" t="s">
        <v>51</v>
      </c>
      <c r="C326">
        <v>6200</v>
      </c>
      <c r="D326" t="s">
        <v>41</v>
      </c>
      <c r="E326" t="s">
        <v>34</v>
      </c>
      <c r="F326" s="4">
        <v>8320</v>
      </c>
    </row>
    <row r="327" spans="1:6" hidden="1" x14ac:dyDescent="0.25">
      <c r="A327" t="s">
        <v>65</v>
      </c>
      <c r="B327" t="s">
        <v>51</v>
      </c>
      <c r="C327">
        <v>6300</v>
      </c>
      <c r="D327" t="s">
        <v>42</v>
      </c>
      <c r="E327" t="s">
        <v>34</v>
      </c>
      <c r="F327" s="4">
        <v>17280</v>
      </c>
    </row>
    <row r="328" spans="1:6" hidden="1" x14ac:dyDescent="0.25">
      <c r="A328" t="s">
        <v>65</v>
      </c>
      <c r="B328" t="s">
        <v>51</v>
      </c>
      <c r="C328">
        <v>6800</v>
      </c>
      <c r="D328" t="s">
        <v>43</v>
      </c>
      <c r="E328" t="s">
        <v>34</v>
      </c>
      <c r="F328" s="4">
        <v>8500</v>
      </c>
    </row>
    <row r="329" spans="1:6" hidden="1" x14ac:dyDescent="0.25">
      <c r="A329" t="s">
        <v>65</v>
      </c>
      <c r="B329" t="s">
        <v>37</v>
      </c>
      <c r="C329">
        <v>6020</v>
      </c>
      <c r="D329" t="s">
        <v>52</v>
      </c>
      <c r="E329" t="s">
        <v>39</v>
      </c>
      <c r="F329" s="4">
        <v>166108.79999999999</v>
      </c>
    </row>
    <row r="330" spans="1:6" hidden="1" x14ac:dyDescent="0.25">
      <c r="A330" t="s">
        <v>65</v>
      </c>
      <c r="B330" t="s">
        <v>46</v>
      </c>
      <c r="C330">
        <v>6100</v>
      </c>
      <c r="D330" t="s">
        <v>53</v>
      </c>
      <c r="E330" t="s">
        <v>47</v>
      </c>
      <c r="F330" s="4">
        <v>120000</v>
      </c>
    </row>
    <row r="331" spans="1:6" hidden="1" x14ac:dyDescent="0.25">
      <c r="A331" t="s">
        <v>65</v>
      </c>
      <c r="B331" t="s">
        <v>51</v>
      </c>
      <c r="C331">
        <v>6100</v>
      </c>
      <c r="D331" t="s">
        <v>53</v>
      </c>
      <c r="E331" t="s">
        <v>34</v>
      </c>
      <c r="F331" s="4">
        <v>55000</v>
      </c>
    </row>
    <row r="332" spans="1:6" hidden="1" x14ac:dyDescent="0.25">
      <c r="A332" t="s">
        <v>65</v>
      </c>
      <c r="B332" t="s">
        <v>44</v>
      </c>
      <c r="C332">
        <v>6400</v>
      </c>
      <c r="D332" t="s">
        <v>54</v>
      </c>
      <c r="E332" t="s">
        <v>39</v>
      </c>
      <c r="F332" s="4">
        <v>540000</v>
      </c>
    </row>
    <row r="333" spans="1:6" hidden="1" x14ac:dyDescent="0.25">
      <c r="A333" t="s">
        <v>65</v>
      </c>
      <c r="B333" t="s">
        <v>44</v>
      </c>
      <c r="C333">
        <v>6410</v>
      </c>
      <c r="D333" t="s">
        <v>55</v>
      </c>
      <c r="E333" t="s">
        <v>39</v>
      </c>
      <c r="F333" s="4">
        <v>55000</v>
      </c>
    </row>
    <row r="334" spans="1:6" hidden="1" x14ac:dyDescent="0.25">
      <c r="A334" t="s">
        <v>65</v>
      </c>
      <c r="B334" t="s">
        <v>48</v>
      </c>
      <c r="C334">
        <v>6500</v>
      </c>
      <c r="D334" t="s">
        <v>56</v>
      </c>
      <c r="E334" t="s">
        <v>49</v>
      </c>
      <c r="F334" s="4">
        <v>45000</v>
      </c>
    </row>
    <row r="335" spans="1:6" hidden="1" x14ac:dyDescent="0.25">
      <c r="A335" t="s">
        <v>65</v>
      </c>
      <c r="B335" t="s">
        <v>48</v>
      </c>
      <c r="C335">
        <v>6510</v>
      </c>
      <c r="D335" t="s">
        <v>57</v>
      </c>
      <c r="E335" t="s">
        <v>49</v>
      </c>
      <c r="F335" s="4">
        <v>30000</v>
      </c>
    </row>
    <row r="336" spans="1:6" hidden="1" x14ac:dyDescent="0.25">
      <c r="A336" t="s">
        <v>65</v>
      </c>
      <c r="B336" t="s">
        <v>48</v>
      </c>
      <c r="C336">
        <v>6600</v>
      </c>
      <c r="D336" t="s">
        <v>58</v>
      </c>
      <c r="E336" t="s">
        <v>49</v>
      </c>
      <c r="F336" s="4">
        <v>312000</v>
      </c>
    </row>
    <row r="337" spans="1:6" hidden="1" x14ac:dyDescent="0.25">
      <c r="A337" t="s">
        <v>65</v>
      </c>
      <c r="B337" t="s">
        <v>48</v>
      </c>
      <c r="C337">
        <v>6700</v>
      </c>
      <c r="D337" t="s">
        <v>59</v>
      </c>
      <c r="E337" t="s">
        <v>49</v>
      </c>
      <c r="F337" s="4">
        <v>148500</v>
      </c>
    </row>
    <row r="338" spans="1:6" hidden="1" x14ac:dyDescent="0.25">
      <c r="A338" t="s">
        <v>66</v>
      </c>
      <c r="B338" t="s">
        <v>31</v>
      </c>
      <c r="C338">
        <v>4000</v>
      </c>
      <c r="D338" t="s">
        <v>32</v>
      </c>
      <c r="E338" t="s">
        <v>31</v>
      </c>
      <c r="F338" s="4">
        <v>9901640</v>
      </c>
    </row>
    <row r="339" spans="1:6" x14ac:dyDescent="0.25">
      <c r="A339" t="s">
        <v>66</v>
      </c>
      <c r="B339" t="s">
        <v>31</v>
      </c>
      <c r="C339">
        <v>4100</v>
      </c>
      <c r="D339" t="s">
        <v>33</v>
      </c>
      <c r="E339" t="s">
        <v>31</v>
      </c>
      <c r="F339" s="4">
        <v>780000</v>
      </c>
    </row>
    <row r="340" spans="1:6" hidden="1" x14ac:dyDescent="0.25">
      <c r="A340" t="s">
        <v>66</v>
      </c>
      <c r="B340" t="s">
        <v>34</v>
      </c>
      <c r="C340">
        <v>5000</v>
      </c>
      <c r="D340" t="s">
        <v>35</v>
      </c>
      <c r="E340" t="s">
        <v>34</v>
      </c>
      <c r="F340" s="4">
        <v>940655.8</v>
      </c>
    </row>
    <row r="341" spans="1:6" hidden="1" x14ac:dyDescent="0.25">
      <c r="A341" t="s">
        <v>66</v>
      </c>
      <c r="B341" t="s">
        <v>34</v>
      </c>
      <c r="C341">
        <v>5300</v>
      </c>
      <c r="D341" t="s">
        <v>36</v>
      </c>
      <c r="E341" t="s">
        <v>34</v>
      </c>
      <c r="F341" s="4">
        <v>181000</v>
      </c>
    </row>
    <row r="342" spans="1:6" hidden="1" x14ac:dyDescent="0.25">
      <c r="A342" t="s">
        <v>66</v>
      </c>
      <c r="B342" t="s">
        <v>37</v>
      </c>
      <c r="C342">
        <v>6000</v>
      </c>
      <c r="D342" t="s">
        <v>38</v>
      </c>
      <c r="E342" t="s">
        <v>39</v>
      </c>
      <c r="F342" s="4">
        <v>890916.67</v>
      </c>
    </row>
    <row r="343" spans="1:6" hidden="1" x14ac:dyDescent="0.25">
      <c r="A343" t="s">
        <v>66</v>
      </c>
      <c r="B343" t="s">
        <v>37</v>
      </c>
      <c r="C343">
        <v>6010</v>
      </c>
      <c r="D343" t="s">
        <v>40</v>
      </c>
      <c r="E343" t="s">
        <v>39</v>
      </c>
      <c r="F343" s="4">
        <v>182637.92</v>
      </c>
    </row>
    <row r="344" spans="1:6" hidden="1" x14ac:dyDescent="0.25">
      <c r="A344" t="s">
        <v>66</v>
      </c>
      <c r="B344" t="s">
        <v>37</v>
      </c>
      <c r="C344">
        <v>6200</v>
      </c>
      <c r="D344" t="s">
        <v>41</v>
      </c>
      <c r="E344" t="s">
        <v>39</v>
      </c>
      <c r="F344" s="4">
        <v>27560</v>
      </c>
    </row>
    <row r="345" spans="1:6" hidden="1" x14ac:dyDescent="0.25">
      <c r="A345" t="s">
        <v>66</v>
      </c>
      <c r="B345" t="s">
        <v>37</v>
      </c>
      <c r="C345">
        <v>6300</v>
      </c>
      <c r="D345" t="s">
        <v>42</v>
      </c>
      <c r="E345" t="s">
        <v>39</v>
      </c>
      <c r="F345" s="4">
        <v>65720</v>
      </c>
    </row>
    <row r="346" spans="1:6" hidden="1" x14ac:dyDescent="0.25">
      <c r="A346" t="s">
        <v>66</v>
      </c>
      <c r="B346" t="s">
        <v>37</v>
      </c>
      <c r="C346">
        <v>6800</v>
      </c>
      <c r="D346" t="s">
        <v>43</v>
      </c>
      <c r="E346" t="s">
        <v>39</v>
      </c>
      <c r="F346" s="4">
        <v>17500</v>
      </c>
    </row>
    <row r="347" spans="1:6" hidden="1" x14ac:dyDescent="0.25">
      <c r="A347" t="s">
        <v>66</v>
      </c>
      <c r="B347" t="s">
        <v>44</v>
      </c>
      <c r="C347">
        <v>6000</v>
      </c>
      <c r="D347" t="s">
        <v>38</v>
      </c>
      <c r="E347" t="s">
        <v>39</v>
      </c>
      <c r="F347" s="4">
        <v>291041.67</v>
      </c>
    </row>
    <row r="348" spans="1:6" hidden="1" x14ac:dyDescent="0.25">
      <c r="A348" t="s">
        <v>66</v>
      </c>
      <c r="B348" t="s">
        <v>44</v>
      </c>
      <c r="C348">
        <v>6010</v>
      </c>
      <c r="D348" t="s">
        <v>40</v>
      </c>
      <c r="E348" t="s">
        <v>39</v>
      </c>
      <c r="F348" s="4">
        <v>59663.54</v>
      </c>
    </row>
    <row r="349" spans="1:6" hidden="1" x14ac:dyDescent="0.25">
      <c r="A349" t="s">
        <v>66</v>
      </c>
      <c r="B349" t="s">
        <v>44</v>
      </c>
      <c r="C349">
        <v>6200</v>
      </c>
      <c r="D349" t="s">
        <v>41</v>
      </c>
      <c r="E349" t="s">
        <v>39</v>
      </c>
      <c r="F349" s="4">
        <v>8060</v>
      </c>
    </row>
    <row r="350" spans="1:6" hidden="1" x14ac:dyDescent="0.25">
      <c r="A350" t="s">
        <v>66</v>
      </c>
      <c r="B350" t="s">
        <v>44</v>
      </c>
      <c r="C350">
        <v>6300</v>
      </c>
      <c r="D350" t="s">
        <v>42</v>
      </c>
      <c r="E350" t="s">
        <v>39</v>
      </c>
      <c r="F350" s="4">
        <v>9300</v>
      </c>
    </row>
    <row r="351" spans="1:6" hidden="1" x14ac:dyDescent="0.25">
      <c r="A351" t="s">
        <v>66</v>
      </c>
      <c r="B351" t="s">
        <v>44</v>
      </c>
      <c r="C351">
        <v>6800</v>
      </c>
      <c r="D351" t="s">
        <v>43</v>
      </c>
      <c r="E351" t="s">
        <v>39</v>
      </c>
      <c r="F351" s="4">
        <v>8500</v>
      </c>
    </row>
    <row r="352" spans="1:6" hidden="1" x14ac:dyDescent="0.25">
      <c r="A352" t="s">
        <v>66</v>
      </c>
      <c r="B352" t="s">
        <v>45</v>
      </c>
      <c r="C352">
        <v>6000</v>
      </c>
      <c r="D352" t="s">
        <v>38</v>
      </c>
      <c r="E352" t="s">
        <v>39</v>
      </c>
      <c r="F352" s="4">
        <v>319166.67</v>
      </c>
    </row>
    <row r="353" spans="1:6" hidden="1" x14ac:dyDescent="0.25">
      <c r="A353" t="s">
        <v>66</v>
      </c>
      <c r="B353" t="s">
        <v>45</v>
      </c>
      <c r="C353">
        <v>6010</v>
      </c>
      <c r="D353" t="s">
        <v>40</v>
      </c>
      <c r="E353" t="s">
        <v>39</v>
      </c>
      <c r="F353" s="4">
        <v>65429.17</v>
      </c>
    </row>
    <row r="354" spans="1:6" hidden="1" x14ac:dyDescent="0.25">
      <c r="A354" t="s">
        <v>66</v>
      </c>
      <c r="B354" t="s">
        <v>45</v>
      </c>
      <c r="C354">
        <v>6200</v>
      </c>
      <c r="D354" t="s">
        <v>41</v>
      </c>
      <c r="E354" t="s">
        <v>39</v>
      </c>
      <c r="F354" s="4">
        <v>10660</v>
      </c>
    </row>
    <row r="355" spans="1:6" hidden="1" x14ac:dyDescent="0.25">
      <c r="A355" t="s">
        <v>66</v>
      </c>
      <c r="B355" t="s">
        <v>45</v>
      </c>
      <c r="C355">
        <v>6300</v>
      </c>
      <c r="D355" t="s">
        <v>42</v>
      </c>
      <c r="E355" t="s">
        <v>39</v>
      </c>
      <c r="F355" s="4">
        <v>10660</v>
      </c>
    </row>
    <row r="356" spans="1:6" hidden="1" x14ac:dyDescent="0.25">
      <c r="A356" t="s">
        <v>66</v>
      </c>
      <c r="B356" t="s">
        <v>45</v>
      </c>
      <c r="C356">
        <v>6800</v>
      </c>
      <c r="D356" t="s">
        <v>43</v>
      </c>
      <c r="E356" t="s">
        <v>39</v>
      </c>
      <c r="F356" s="4">
        <v>8500</v>
      </c>
    </row>
    <row r="357" spans="1:6" hidden="1" x14ac:dyDescent="0.25">
      <c r="A357" t="s">
        <v>66</v>
      </c>
      <c r="B357" t="s">
        <v>46</v>
      </c>
      <c r="C357">
        <v>6000</v>
      </c>
      <c r="D357" t="s">
        <v>38</v>
      </c>
      <c r="E357" t="s">
        <v>47</v>
      </c>
      <c r="F357" s="4">
        <v>2375125</v>
      </c>
    </row>
    <row r="358" spans="1:6" hidden="1" x14ac:dyDescent="0.25">
      <c r="A358" t="s">
        <v>66</v>
      </c>
      <c r="B358" t="s">
        <v>46</v>
      </c>
      <c r="C358">
        <v>6010</v>
      </c>
      <c r="D358" t="s">
        <v>40</v>
      </c>
      <c r="E358" t="s">
        <v>47</v>
      </c>
      <c r="F358" s="4">
        <v>486900.63</v>
      </c>
    </row>
    <row r="359" spans="1:6" hidden="1" x14ac:dyDescent="0.25">
      <c r="A359" t="s">
        <v>66</v>
      </c>
      <c r="B359" t="s">
        <v>46</v>
      </c>
      <c r="C359">
        <v>6200</v>
      </c>
      <c r="D359" t="s">
        <v>41</v>
      </c>
      <c r="E359" t="s">
        <v>47</v>
      </c>
      <c r="F359" s="4">
        <v>44720</v>
      </c>
    </row>
    <row r="360" spans="1:6" hidden="1" x14ac:dyDescent="0.25">
      <c r="A360" t="s">
        <v>66</v>
      </c>
      <c r="B360" t="s">
        <v>46</v>
      </c>
      <c r="C360">
        <v>6300</v>
      </c>
      <c r="D360" t="s">
        <v>42</v>
      </c>
      <c r="E360" t="s">
        <v>47</v>
      </c>
      <c r="F360" s="4">
        <v>15480</v>
      </c>
    </row>
    <row r="361" spans="1:6" hidden="1" x14ac:dyDescent="0.25">
      <c r="A361" t="s">
        <v>66</v>
      </c>
      <c r="B361" t="s">
        <v>46</v>
      </c>
      <c r="C361">
        <v>6800</v>
      </c>
      <c r="D361" t="s">
        <v>43</v>
      </c>
      <c r="E361" t="s">
        <v>47</v>
      </c>
      <c r="F361" s="4">
        <v>31000</v>
      </c>
    </row>
    <row r="362" spans="1:6" hidden="1" x14ac:dyDescent="0.25">
      <c r="A362" t="s">
        <v>66</v>
      </c>
      <c r="B362" t="s">
        <v>48</v>
      </c>
      <c r="C362">
        <v>6000</v>
      </c>
      <c r="D362" t="s">
        <v>38</v>
      </c>
      <c r="E362" t="s">
        <v>49</v>
      </c>
      <c r="F362" s="4">
        <v>484500</v>
      </c>
    </row>
    <row r="363" spans="1:6" hidden="1" x14ac:dyDescent="0.25">
      <c r="A363" t="s">
        <v>66</v>
      </c>
      <c r="B363" t="s">
        <v>48</v>
      </c>
      <c r="C363">
        <v>6010</v>
      </c>
      <c r="D363" t="s">
        <v>40</v>
      </c>
      <c r="E363" t="s">
        <v>49</v>
      </c>
      <c r="F363" s="4">
        <v>99322.5</v>
      </c>
    </row>
    <row r="364" spans="1:6" hidden="1" x14ac:dyDescent="0.25">
      <c r="A364" t="s">
        <v>66</v>
      </c>
      <c r="B364" t="s">
        <v>48</v>
      </c>
      <c r="C364">
        <v>6200</v>
      </c>
      <c r="D364" t="s">
        <v>41</v>
      </c>
      <c r="E364" t="s">
        <v>49</v>
      </c>
      <c r="F364" s="4">
        <v>11960</v>
      </c>
    </row>
    <row r="365" spans="1:6" hidden="1" x14ac:dyDescent="0.25">
      <c r="A365" t="s">
        <v>66</v>
      </c>
      <c r="B365" t="s">
        <v>48</v>
      </c>
      <c r="C365">
        <v>6300</v>
      </c>
      <c r="D365" t="s">
        <v>42</v>
      </c>
      <c r="E365" t="s">
        <v>49</v>
      </c>
      <c r="F365" s="4">
        <v>4140</v>
      </c>
    </row>
    <row r="366" spans="1:6" hidden="1" x14ac:dyDescent="0.25">
      <c r="A366" t="s">
        <v>66</v>
      </c>
      <c r="B366" t="s">
        <v>48</v>
      </c>
      <c r="C366">
        <v>6800</v>
      </c>
      <c r="D366" t="s">
        <v>43</v>
      </c>
      <c r="E366" t="s">
        <v>49</v>
      </c>
      <c r="F366" s="4">
        <v>8500</v>
      </c>
    </row>
    <row r="367" spans="1:6" hidden="1" x14ac:dyDescent="0.25">
      <c r="A367" t="s">
        <v>66</v>
      </c>
      <c r="B367" t="s">
        <v>50</v>
      </c>
      <c r="C367">
        <v>6000</v>
      </c>
      <c r="D367" t="s">
        <v>38</v>
      </c>
      <c r="E367" t="s">
        <v>34</v>
      </c>
      <c r="F367" s="4">
        <v>270083.33</v>
      </c>
    </row>
    <row r="368" spans="1:6" hidden="1" x14ac:dyDescent="0.25">
      <c r="A368" t="s">
        <v>66</v>
      </c>
      <c r="B368" t="s">
        <v>50</v>
      </c>
      <c r="C368">
        <v>6010</v>
      </c>
      <c r="D368" t="s">
        <v>40</v>
      </c>
      <c r="E368" t="s">
        <v>34</v>
      </c>
      <c r="F368" s="4">
        <v>55367.08</v>
      </c>
    </row>
    <row r="369" spans="1:6" hidden="1" x14ac:dyDescent="0.25">
      <c r="A369" t="s">
        <v>66</v>
      </c>
      <c r="B369" t="s">
        <v>50</v>
      </c>
      <c r="C369">
        <v>6200</v>
      </c>
      <c r="D369" t="s">
        <v>41</v>
      </c>
      <c r="E369" t="s">
        <v>34</v>
      </c>
      <c r="F369" s="4">
        <v>11700</v>
      </c>
    </row>
    <row r="370" spans="1:6" hidden="1" x14ac:dyDescent="0.25">
      <c r="A370" t="s">
        <v>66</v>
      </c>
      <c r="B370" t="s">
        <v>50</v>
      </c>
      <c r="C370">
        <v>6300</v>
      </c>
      <c r="D370" t="s">
        <v>42</v>
      </c>
      <c r="E370" t="s">
        <v>34</v>
      </c>
      <c r="F370" s="4">
        <v>4050</v>
      </c>
    </row>
    <row r="371" spans="1:6" hidden="1" x14ac:dyDescent="0.25">
      <c r="A371" t="s">
        <v>66</v>
      </c>
      <c r="B371" t="s">
        <v>50</v>
      </c>
      <c r="C371">
        <v>6800</v>
      </c>
      <c r="D371" t="s">
        <v>43</v>
      </c>
      <c r="E371" t="s">
        <v>34</v>
      </c>
      <c r="F371" s="4">
        <v>8500</v>
      </c>
    </row>
    <row r="372" spans="1:6" hidden="1" x14ac:dyDescent="0.25">
      <c r="A372" t="s">
        <v>66</v>
      </c>
      <c r="B372" t="s">
        <v>51</v>
      </c>
      <c r="C372">
        <v>6000</v>
      </c>
      <c r="D372" t="s">
        <v>38</v>
      </c>
      <c r="E372" t="s">
        <v>34</v>
      </c>
      <c r="F372" s="4">
        <v>331625</v>
      </c>
    </row>
    <row r="373" spans="1:6" hidden="1" x14ac:dyDescent="0.25">
      <c r="A373" t="s">
        <v>66</v>
      </c>
      <c r="B373" t="s">
        <v>51</v>
      </c>
      <c r="C373">
        <v>6010</v>
      </c>
      <c r="D373" t="s">
        <v>40</v>
      </c>
      <c r="E373" t="s">
        <v>34</v>
      </c>
      <c r="F373" s="4">
        <v>67983.12</v>
      </c>
    </row>
    <row r="374" spans="1:6" hidden="1" x14ac:dyDescent="0.25">
      <c r="A374" t="s">
        <v>66</v>
      </c>
      <c r="B374" t="s">
        <v>51</v>
      </c>
      <c r="C374">
        <v>6200</v>
      </c>
      <c r="D374" t="s">
        <v>41</v>
      </c>
      <c r="E374" t="s">
        <v>34</v>
      </c>
      <c r="F374" s="4">
        <v>8320</v>
      </c>
    </row>
    <row r="375" spans="1:6" hidden="1" x14ac:dyDescent="0.25">
      <c r="A375" t="s">
        <v>66</v>
      </c>
      <c r="B375" t="s">
        <v>51</v>
      </c>
      <c r="C375">
        <v>6300</v>
      </c>
      <c r="D375" t="s">
        <v>42</v>
      </c>
      <c r="E375" t="s">
        <v>34</v>
      </c>
      <c r="F375" s="4">
        <v>17280</v>
      </c>
    </row>
    <row r="376" spans="1:6" hidden="1" x14ac:dyDescent="0.25">
      <c r="A376" t="s">
        <v>66</v>
      </c>
      <c r="B376" t="s">
        <v>51</v>
      </c>
      <c r="C376">
        <v>6800</v>
      </c>
      <c r="D376" t="s">
        <v>43</v>
      </c>
      <c r="E376" t="s">
        <v>34</v>
      </c>
      <c r="F376" s="4">
        <v>4000</v>
      </c>
    </row>
    <row r="377" spans="1:6" hidden="1" x14ac:dyDescent="0.25">
      <c r="A377" t="s">
        <v>66</v>
      </c>
      <c r="B377" t="s">
        <v>37</v>
      </c>
      <c r="C377">
        <v>6020</v>
      </c>
      <c r="D377" t="s">
        <v>52</v>
      </c>
      <c r="E377" t="s">
        <v>39</v>
      </c>
      <c r="F377" s="4">
        <v>226512</v>
      </c>
    </row>
    <row r="378" spans="1:6" hidden="1" x14ac:dyDescent="0.25">
      <c r="A378" t="s">
        <v>66</v>
      </c>
      <c r="B378" t="s">
        <v>46</v>
      </c>
      <c r="C378">
        <v>6100</v>
      </c>
      <c r="D378" t="s">
        <v>53</v>
      </c>
      <c r="E378" t="s">
        <v>47</v>
      </c>
      <c r="F378" s="4">
        <v>120000</v>
      </c>
    </row>
    <row r="379" spans="1:6" hidden="1" x14ac:dyDescent="0.25">
      <c r="A379" t="s">
        <v>66</v>
      </c>
      <c r="B379" t="s">
        <v>51</v>
      </c>
      <c r="C379">
        <v>6100</v>
      </c>
      <c r="D379" t="s">
        <v>53</v>
      </c>
      <c r="E379" t="s">
        <v>34</v>
      </c>
      <c r="F379" s="4">
        <v>55000</v>
      </c>
    </row>
    <row r="380" spans="1:6" hidden="1" x14ac:dyDescent="0.25">
      <c r="A380" t="s">
        <v>66</v>
      </c>
      <c r="B380" t="s">
        <v>44</v>
      </c>
      <c r="C380">
        <v>6400</v>
      </c>
      <c r="D380" t="s">
        <v>54</v>
      </c>
      <c r="E380" t="s">
        <v>39</v>
      </c>
      <c r="F380" s="4">
        <v>540000</v>
      </c>
    </row>
    <row r="381" spans="1:6" hidden="1" x14ac:dyDescent="0.25">
      <c r="A381" t="s">
        <v>66</v>
      </c>
      <c r="B381" t="s">
        <v>44</v>
      </c>
      <c r="C381">
        <v>6410</v>
      </c>
      <c r="D381" t="s">
        <v>55</v>
      </c>
      <c r="E381" t="s">
        <v>39</v>
      </c>
      <c r="F381" s="4">
        <v>55000</v>
      </c>
    </row>
    <row r="382" spans="1:6" hidden="1" x14ac:dyDescent="0.25">
      <c r="A382" t="s">
        <v>66</v>
      </c>
      <c r="B382" t="s">
        <v>48</v>
      </c>
      <c r="C382">
        <v>6500</v>
      </c>
      <c r="D382" t="s">
        <v>56</v>
      </c>
      <c r="E382" t="s">
        <v>49</v>
      </c>
      <c r="F382" s="4">
        <v>45000</v>
      </c>
    </row>
    <row r="383" spans="1:6" hidden="1" x14ac:dyDescent="0.25">
      <c r="A383" t="s">
        <v>66</v>
      </c>
      <c r="B383" t="s">
        <v>48</v>
      </c>
      <c r="C383">
        <v>6510</v>
      </c>
      <c r="D383" t="s">
        <v>57</v>
      </c>
      <c r="E383" t="s">
        <v>49</v>
      </c>
      <c r="F383" s="4">
        <v>30000</v>
      </c>
    </row>
    <row r="384" spans="1:6" hidden="1" x14ac:dyDescent="0.25">
      <c r="A384" t="s">
        <v>66</v>
      </c>
      <c r="B384" t="s">
        <v>48</v>
      </c>
      <c r="C384">
        <v>6600</v>
      </c>
      <c r="D384" t="s">
        <v>58</v>
      </c>
      <c r="E384" t="s">
        <v>49</v>
      </c>
      <c r="F384" s="4">
        <v>312000</v>
      </c>
    </row>
    <row r="385" spans="1:6" hidden="1" x14ac:dyDescent="0.25">
      <c r="A385" t="s">
        <v>66</v>
      </c>
      <c r="B385" t="s">
        <v>48</v>
      </c>
      <c r="C385">
        <v>6700</v>
      </c>
      <c r="D385" t="s">
        <v>59</v>
      </c>
      <c r="E385" t="s">
        <v>49</v>
      </c>
      <c r="F385" s="4">
        <v>150000</v>
      </c>
    </row>
    <row r="386" spans="1:6" hidden="1" x14ac:dyDescent="0.25">
      <c r="A386" t="s">
        <v>67</v>
      </c>
      <c r="B386" t="s">
        <v>31</v>
      </c>
      <c r="C386">
        <v>4000</v>
      </c>
      <c r="D386" t="s">
        <v>32</v>
      </c>
      <c r="E386" t="s">
        <v>31</v>
      </c>
      <c r="F386" s="4">
        <v>10087220</v>
      </c>
    </row>
    <row r="387" spans="1:6" x14ac:dyDescent="0.25">
      <c r="A387" t="s">
        <v>67</v>
      </c>
      <c r="B387" t="s">
        <v>31</v>
      </c>
      <c r="C387">
        <v>4100</v>
      </c>
      <c r="D387" t="s">
        <v>33</v>
      </c>
      <c r="E387" t="s">
        <v>31</v>
      </c>
      <c r="F387" s="4">
        <v>790000</v>
      </c>
    </row>
    <row r="388" spans="1:6" hidden="1" x14ac:dyDescent="0.25">
      <c r="A388" t="s">
        <v>67</v>
      </c>
      <c r="B388" t="s">
        <v>34</v>
      </c>
      <c r="C388">
        <v>5000</v>
      </c>
      <c r="D388" t="s">
        <v>35</v>
      </c>
      <c r="E388" t="s">
        <v>34</v>
      </c>
      <c r="F388" s="4">
        <v>958285.9</v>
      </c>
    </row>
    <row r="389" spans="1:6" hidden="1" x14ac:dyDescent="0.25">
      <c r="A389" t="s">
        <v>67</v>
      </c>
      <c r="B389" t="s">
        <v>34</v>
      </c>
      <c r="C389">
        <v>5300</v>
      </c>
      <c r="D389" t="s">
        <v>36</v>
      </c>
      <c r="E389" t="s">
        <v>34</v>
      </c>
      <c r="F389" s="4">
        <v>183000</v>
      </c>
    </row>
    <row r="390" spans="1:6" hidden="1" x14ac:dyDescent="0.25">
      <c r="A390" t="s">
        <v>67</v>
      </c>
      <c r="B390" t="s">
        <v>37</v>
      </c>
      <c r="C390">
        <v>6000</v>
      </c>
      <c r="D390" t="s">
        <v>38</v>
      </c>
      <c r="E390" t="s">
        <v>39</v>
      </c>
      <c r="F390" s="4">
        <v>897166.67</v>
      </c>
    </row>
    <row r="391" spans="1:6" hidden="1" x14ac:dyDescent="0.25">
      <c r="A391" t="s">
        <v>67</v>
      </c>
      <c r="B391" t="s">
        <v>37</v>
      </c>
      <c r="C391">
        <v>6010</v>
      </c>
      <c r="D391" t="s">
        <v>40</v>
      </c>
      <c r="E391" t="s">
        <v>39</v>
      </c>
      <c r="F391" s="4">
        <v>183919.17</v>
      </c>
    </row>
    <row r="392" spans="1:6" hidden="1" x14ac:dyDescent="0.25">
      <c r="A392" t="s">
        <v>67</v>
      </c>
      <c r="B392" t="s">
        <v>37</v>
      </c>
      <c r="C392">
        <v>6200</v>
      </c>
      <c r="D392" t="s">
        <v>41</v>
      </c>
      <c r="E392" t="s">
        <v>39</v>
      </c>
      <c r="F392" s="4">
        <v>27820</v>
      </c>
    </row>
    <row r="393" spans="1:6" hidden="1" x14ac:dyDescent="0.25">
      <c r="A393" t="s">
        <v>67</v>
      </c>
      <c r="B393" t="s">
        <v>37</v>
      </c>
      <c r="C393">
        <v>6300</v>
      </c>
      <c r="D393" t="s">
        <v>42</v>
      </c>
      <c r="E393" t="s">
        <v>39</v>
      </c>
      <c r="F393" s="4">
        <v>66340</v>
      </c>
    </row>
    <row r="394" spans="1:6" hidden="1" x14ac:dyDescent="0.25">
      <c r="A394" t="s">
        <v>67</v>
      </c>
      <c r="B394" t="s">
        <v>37</v>
      </c>
      <c r="C394">
        <v>6800</v>
      </c>
      <c r="D394" t="s">
        <v>43</v>
      </c>
      <c r="E394" t="s">
        <v>39</v>
      </c>
      <c r="F394" s="4">
        <v>17500</v>
      </c>
    </row>
    <row r="395" spans="1:6" hidden="1" x14ac:dyDescent="0.25">
      <c r="A395" t="s">
        <v>67</v>
      </c>
      <c r="B395" t="s">
        <v>44</v>
      </c>
      <c r="C395">
        <v>6000</v>
      </c>
      <c r="D395" t="s">
        <v>38</v>
      </c>
      <c r="E395" t="s">
        <v>39</v>
      </c>
      <c r="F395" s="4">
        <v>307333.33</v>
      </c>
    </row>
    <row r="396" spans="1:6" hidden="1" x14ac:dyDescent="0.25">
      <c r="A396" t="s">
        <v>67</v>
      </c>
      <c r="B396" t="s">
        <v>44</v>
      </c>
      <c r="C396">
        <v>6010</v>
      </c>
      <c r="D396" t="s">
        <v>40</v>
      </c>
      <c r="E396" t="s">
        <v>39</v>
      </c>
      <c r="F396" s="4">
        <v>63003.33</v>
      </c>
    </row>
    <row r="397" spans="1:6" hidden="1" x14ac:dyDescent="0.25">
      <c r="A397" t="s">
        <v>67</v>
      </c>
      <c r="B397" t="s">
        <v>44</v>
      </c>
      <c r="C397">
        <v>6200</v>
      </c>
      <c r="D397" t="s">
        <v>41</v>
      </c>
      <c r="E397" t="s">
        <v>39</v>
      </c>
      <c r="F397" s="4">
        <v>8320</v>
      </c>
    </row>
    <row r="398" spans="1:6" hidden="1" x14ac:dyDescent="0.25">
      <c r="A398" t="s">
        <v>67</v>
      </c>
      <c r="B398" t="s">
        <v>44</v>
      </c>
      <c r="C398">
        <v>6300</v>
      </c>
      <c r="D398" t="s">
        <v>42</v>
      </c>
      <c r="E398" t="s">
        <v>39</v>
      </c>
      <c r="F398" s="4">
        <v>9600</v>
      </c>
    </row>
    <row r="399" spans="1:6" hidden="1" x14ac:dyDescent="0.25">
      <c r="A399" t="s">
        <v>67</v>
      </c>
      <c r="B399" t="s">
        <v>44</v>
      </c>
      <c r="C399">
        <v>6800</v>
      </c>
      <c r="D399" t="s">
        <v>43</v>
      </c>
      <c r="E399" t="s">
        <v>39</v>
      </c>
      <c r="F399" s="4">
        <v>8500</v>
      </c>
    </row>
    <row r="400" spans="1:6" hidden="1" x14ac:dyDescent="0.25">
      <c r="A400" t="s">
        <v>67</v>
      </c>
      <c r="B400" t="s">
        <v>45</v>
      </c>
      <c r="C400">
        <v>6000</v>
      </c>
      <c r="D400" t="s">
        <v>38</v>
      </c>
      <c r="E400" t="s">
        <v>39</v>
      </c>
      <c r="F400" s="4">
        <v>319166.67</v>
      </c>
    </row>
    <row r="401" spans="1:6" hidden="1" x14ac:dyDescent="0.25">
      <c r="A401" t="s">
        <v>67</v>
      </c>
      <c r="B401" t="s">
        <v>45</v>
      </c>
      <c r="C401">
        <v>6010</v>
      </c>
      <c r="D401" t="s">
        <v>40</v>
      </c>
      <c r="E401" t="s">
        <v>39</v>
      </c>
      <c r="F401" s="4">
        <v>65429.17</v>
      </c>
    </row>
    <row r="402" spans="1:6" hidden="1" x14ac:dyDescent="0.25">
      <c r="A402" t="s">
        <v>67</v>
      </c>
      <c r="B402" t="s">
        <v>45</v>
      </c>
      <c r="C402">
        <v>6200</v>
      </c>
      <c r="D402" t="s">
        <v>41</v>
      </c>
      <c r="E402" t="s">
        <v>39</v>
      </c>
      <c r="F402" s="4">
        <v>10660</v>
      </c>
    </row>
    <row r="403" spans="1:6" hidden="1" x14ac:dyDescent="0.25">
      <c r="A403" t="s">
        <v>67</v>
      </c>
      <c r="B403" t="s">
        <v>45</v>
      </c>
      <c r="C403">
        <v>6300</v>
      </c>
      <c r="D403" t="s">
        <v>42</v>
      </c>
      <c r="E403" t="s">
        <v>39</v>
      </c>
      <c r="F403" s="4">
        <v>10660</v>
      </c>
    </row>
    <row r="404" spans="1:6" hidden="1" x14ac:dyDescent="0.25">
      <c r="A404" t="s">
        <v>67</v>
      </c>
      <c r="B404" t="s">
        <v>45</v>
      </c>
      <c r="C404">
        <v>6800</v>
      </c>
      <c r="D404" t="s">
        <v>43</v>
      </c>
      <c r="E404" t="s">
        <v>39</v>
      </c>
      <c r="F404" s="4">
        <v>8500</v>
      </c>
    </row>
    <row r="405" spans="1:6" hidden="1" x14ac:dyDescent="0.25">
      <c r="A405" t="s">
        <v>67</v>
      </c>
      <c r="B405" t="s">
        <v>46</v>
      </c>
      <c r="C405">
        <v>6000</v>
      </c>
      <c r="D405" t="s">
        <v>38</v>
      </c>
      <c r="E405" t="s">
        <v>47</v>
      </c>
      <c r="F405" s="4">
        <v>2395541.67</v>
      </c>
    </row>
    <row r="406" spans="1:6" hidden="1" x14ac:dyDescent="0.25">
      <c r="A406" t="s">
        <v>67</v>
      </c>
      <c r="B406" t="s">
        <v>46</v>
      </c>
      <c r="C406">
        <v>6010</v>
      </c>
      <c r="D406" t="s">
        <v>40</v>
      </c>
      <c r="E406" t="s">
        <v>47</v>
      </c>
      <c r="F406" s="4">
        <v>491086.04</v>
      </c>
    </row>
    <row r="407" spans="1:6" hidden="1" x14ac:dyDescent="0.25">
      <c r="A407" t="s">
        <v>67</v>
      </c>
      <c r="B407" t="s">
        <v>46</v>
      </c>
      <c r="C407">
        <v>6200</v>
      </c>
      <c r="D407" t="s">
        <v>41</v>
      </c>
      <c r="E407" t="s">
        <v>47</v>
      </c>
      <c r="F407" s="4">
        <v>45240</v>
      </c>
    </row>
    <row r="408" spans="1:6" hidden="1" x14ac:dyDescent="0.25">
      <c r="A408" t="s">
        <v>67</v>
      </c>
      <c r="B408" t="s">
        <v>46</v>
      </c>
      <c r="C408">
        <v>6300</v>
      </c>
      <c r="D408" t="s">
        <v>42</v>
      </c>
      <c r="E408" t="s">
        <v>47</v>
      </c>
      <c r="F408" s="4">
        <v>15660</v>
      </c>
    </row>
    <row r="409" spans="1:6" hidden="1" x14ac:dyDescent="0.25">
      <c r="A409" t="s">
        <v>67</v>
      </c>
      <c r="B409" t="s">
        <v>46</v>
      </c>
      <c r="C409">
        <v>6800</v>
      </c>
      <c r="D409" t="s">
        <v>43</v>
      </c>
      <c r="E409" t="s">
        <v>47</v>
      </c>
      <c r="F409" s="4">
        <v>22000</v>
      </c>
    </row>
    <row r="410" spans="1:6" hidden="1" x14ac:dyDescent="0.25">
      <c r="A410" t="s">
        <v>67</v>
      </c>
      <c r="B410" t="s">
        <v>48</v>
      </c>
      <c r="C410">
        <v>6000</v>
      </c>
      <c r="D410" t="s">
        <v>38</v>
      </c>
      <c r="E410" t="s">
        <v>49</v>
      </c>
      <c r="F410" s="4">
        <v>493125</v>
      </c>
    </row>
    <row r="411" spans="1:6" hidden="1" x14ac:dyDescent="0.25">
      <c r="A411" t="s">
        <v>67</v>
      </c>
      <c r="B411" t="s">
        <v>48</v>
      </c>
      <c r="C411">
        <v>6010</v>
      </c>
      <c r="D411" t="s">
        <v>40</v>
      </c>
      <c r="E411" t="s">
        <v>49</v>
      </c>
      <c r="F411" s="4">
        <v>101090.62</v>
      </c>
    </row>
    <row r="412" spans="1:6" hidden="1" x14ac:dyDescent="0.25">
      <c r="A412" t="s">
        <v>67</v>
      </c>
      <c r="B412" t="s">
        <v>48</v>
      </c>
      <c r="C412">
        <v>6200</v>
      </c>
      <c r="D412" t="s">
        <v>41</v>
      </c>
      <c r="E412" t="s">
        <v>49</v>
      </c>
      <c r="F412" s="4">
        <v>12220</v>
      </c>
    </row>
    <row r="413" spans="1:6" hidden="1" x14ac:dyDescent="0.25">
      <c r="A413" t="s">
        <v>67</v>
      </c>
      <c r="B413" t="s">
        <v>48</v>
      </c>
      <c r="C413">
        <v>6300</v>
      </c>
      <c r="D413" t="s">
        <v>42</v>
      </c>
      <c r="E413" t="s">
        <v>49</v>
      </c>
      <c r="F413" s="4">
        <v>4230</v>
      </c>
    </row>
    <row r="414" spans="1:6" hidden="1" x14ac:dyDescent="0.25">
      <c r="A414" t="s">
        <v>67</v>
      </c>
      <c r="B414" t="s">
        <v>48</v>
      </c>
      <c r="C414">
        <v>6800</v>
      </c>
      <c r="D414" t="s">
        <v>43</v>
      </c>
      <c r="E414" t="s">
        <v>49</v>
      </c>
      <c r="F414" s="4">
        <v>8500</v>
      </c>
    </row>
    <row r="415" spans="1:6" hidden="1" x14ac:dyDescent="0.25">
      <c r="A415" t="s">
        <v>67</v>
      </c>
      <c r="B415" t="s">
        <v>50</v>
      </c>
      <c r="C415">
        <v>6000</v>
      </c>
      <c r="D415" t="s">
        <v>38</v>
      </c>
      <c r="E415" t="s">
        <v>34</v>
      </c>
      <c r="F415" s="4">
        <v>270083.33</v>
      </c>
    </row>
    <row r="416" spans="1:6" hidden="1" x14ac:dyDescent="0.25">
      <c r="A416" t="s">
        <v>67</v>
      </c>
      <c r="B416" t="s">
        <v>50</v>
      </c>
      <c r="C416">
        <v>6010</v>
      </c>
      <c r="D416" t="s">
        <v>40</v>
      </c>
      <c r="E416" t="s">
        <v>34</v>
      </c>
      <c r="F416" s="4">
        <v>55367.08</v>
      </c>
    </row>
    <row r="417" spans="1:6" hidden="1" x14ac:dyDescent="0.25">
      <c r="A417" t="s">
        <v>67</v>
      </c>
      <c r="B417" t="s">
        <v>50</v>
      </c>
      <c r="C417">
        <v>6200</v>
      </c>
      <c r="D417" t="s">
        <v>41</v>
      </c>
      <c r="E417" t="s">
        <v>34</v>
      </c>
      <c r="F417" s="4">
        <v>11700</v>
      </c>
    </row>
    <row r="418" spans="1:6" hidden="1" x14ac:dyDescent="0.25">
      <c r="A418" t="s">
        <v>67</v>
      </c>
      <c r="B418" t="s">
        <v>50</v>
      </c>
      <c r="C418">
        <v>6300</v>
      </c>
      <c r="D418" t="s">
        <v>42</v>
      </c>
      <c r="E418" t="s">
        <v>34</v>
      </c>
      <c r="F418" s="4">
        <v>4050</v>
      </c>
    </row>
    <row r="419" spans="1:6" hidden="1" x14ac:dyDescent="0.25">
      <c r="A419" t="s">
        <v>67</v>
      </c>
      <c r="B419" t="s">
        <v>50</v>
      </c>
      <c r="C419">
        <v>6800</v>
      </c>
      <c r="D419" t="s">
        <v>43</v>
      </c>
      <c r="E419" t="s">
        <v>34</v>
      </c>
      <c r="F419" s="4">
        <v>8500</v>
      </c>
    </row>
    <row r="420" spans="1:6" hidden="1" x14ac:dyDescent="0.25">
      <c r="A420" t="s">
        <v>67</v>
      </c>
      <c r="B420" t="s">
        <v>51</v>
      </c>
      <c r="C420">
        <v>6000</v>
      </c>
      <c r="D420" t="s">
        <v>38</v>
      </c>
      <c r="E420" t="s">
        <v>34</v>
      </c>
      <c r="F420" s="4">
        <v>331625</v>
      </c>
    </row>
    <row r="421" spans="1:6" hidden="1" x14ac:dyDescent="0.25">
      <c r="A421" t="s">
        <v>67</v>
      </c>
      <c r="B421" t="s">
        <v>51</v>
      </c>
      <c r="C421">
        <v>6010</v>
      </c>
      <c r="D421" t="s">
        <v>40</v>
      </c>
      <c r="E421" t="s">
        <v>34</v>
      </c>
      <c r="F421" s="4">
        <v>67983.12</v>
      </c>
    </row>
    <row r="422" spans="1:6" hidden="1" x14ac:dyDescent="0.25">
      <c r="A422" t="s">
        <v>67</v>
      </c>
      <c r="B422" t="s">
        <v>51</v>
      </c>
      <c r="C422">
        <v>6200</v>
      </c>
      <c r="D422" t="s">
        <v>41</v>
      </c>
      <c r="E422" t="s">
        <v>34</v>
      </c>
      <c r="F422" s="4">
        <v>8320</v>
      </c>
    </row>
    <row r="423" spans="1:6" hidden="1" x14ac:dyDescent="0.25">
      <c r="A423" t="s">
        <v>67</v>
      </c>
      <c r="B423" t="s">
        <v>51</v>
      </c>
      <c r="C423">
        <v>6300</v>
      </c>
      <c r="D423" t="s">
        <v>42</v>
      </c>
      <c r="E423" t="s">
        <v>34</v>
      </c>
      <c r="F423" s="4">
        <v>17280</v>
      </c>
    </row>
    <row r="424" spans="1:6" hidden="1" x14ac:dyDescent="0.25">
      <c r="A424" t="s">
        <v>67</v>
      </c>
      <c r="B424" t="s">
        <v>51</v>
      </c>
      <c r="C424">
        <v>6800</v>
      </c>
      <c r="D424" t="s">
        <v>43</v>
      </c>
      <c r="E424" t="s">
        <v>34</v>
      </c>
      <c r="F424" s="4">
        <v>8500</v>
      </c>
    </row>
    <row r="425" spans="1:6" hidden="1" x14ac:dyDescent="0.25">
      <c r="A425" t="s">
        <v>67</v>
      </c>
      <c r="B425" t="s">
        <v>37</v>
      </c>
      <c r="C425">
        <v>6020</v>
      </c>
      <c r="D425" t="s">
        <v>52</v>
      </c>
      <c r="E425" t="s">
        <v>39</v>
      </c>
      <c r="F425" s="4">
        <v>362419.20000000001</v>
      </c>
    </row>
    <row r="426" spans="1:6" hidden="1" x14ac:dyDescent="0.25">
      <c r="A426" t="s">
        <v>67</v>
      </c>
      <c r="B426" t="s">
        <v>46</v>
      </c>
      <c r="C426">
        <v>6100</v>
      </c>
      <c r="D426" t="s">
        <v>53</v>
      </c>
      <c r="E426" t="s">
        <v>47</v>
      </c>
      <c r="F426" s="4">
        <v>120000</v>
      </c>
    </row>
    <row r="427" spans="1:6" hidden="1" x14ac:dyDescent="0.25">
      <c r="A427" t="s">
        <v>67</v>
      </c>
      <c r="B427" t="s">
        <v>51</v>
      </c>
      <c r="C427">
        <v>6100</v>
      </c>
      <c r="D427" t="s">
        <v>53</v>
      </c>
      <c r="E427" t="s">
        <v>34</v>
      </c>
      <c r="F427" s="4">
        <v>55000</v>
      </c>
    </row>
    <row r="428" spans="1:6" hidden="1" x14ac:dyDescent="0.25">
      <c r="A428" t="s">
        <v>67</v>
      </c>
      <c r="B428" t="s">
        <v>44</v>
      </c>
      <c r="C428">
        <v>6400</v>
      </c>
      <c r="D428" t="s">
        <v>54</v>
      </c>
      <c r="E428" t="s">
        <v>39</v>
      </c>
      <c r="F428" s="4">
        <v>600000</v>
      </c>
    </row>
    <row r="429" spans="1:6" hidden="1" x14ac:dyDescent="0.25">
      <c r="A429" t="s">
        <v>67</v>
      </c>
      <c r="B429" t="s">
        <v>44</v>
      </c>
      <c r="C429">
        <v>6410</v>
      </c>
      <c r="D429" t="s">
        <v>55</v>
      </c>
      <c r="E429" t="s">
        <v>39</v>
      </c>
      <c r="F429" s="4">
        <v>55000</v>
      </c>
    </row>
    <row r="430" spans="1:6" hidden="1" x14ac:dyDescent="0.25">
      <c r="A430" t="s">
        <v>67</v>
      </c>
      <c r="B430" t="s">
        <v>48</v>
      </c>
      <c r="C430">
        <v>6500</v>
      </c>
      <c r="D430" t="s">
        <v>56</v>
      </c>
      <c r="E430" t="s">
        <v>49</v>
      </c>
      <c r="F430" s="4">
        <v>45000</v>
      </c>
    </row>
    <row r="431" spans="1:6" hidden="1" x14ac:dyDescent="0.25">
      <c r="A431" t="s">
        <v>67</v>
      </c>
      <c r="B431" t="s">
        <v>48</v>
      </c>
      <c r="C431">
        <v>6510</v>
      </c>
      <c r="D431" t="s">
        <v>57</v>
      </c>
      <c r="E431" t="s">
        <v>49</v>
      </c>
      <c r="F431" s="4">
        <v>30000</v>
      </c>
    </row>
    <row r="432" spans="1:6" hidden="1" x14ac:dyDescent="0.25">
      <c r="A432" t="s">
        <v>67</v>
      </c>
      <c r="B432" t="s">
        <v>48</v>
      </c>
      <c r="C432">
        <v>6600</v>
      </c>
      <c r="D432" t="s">
        <v>58</v>
      </c>
      <c r="E432" t="s">
        <v>49</v>
      </c>
      <c r="F432" s="4">
        <v>312000</v>
      </c>
    </row>
    <row r="433" spans="1:6" hidden="1" x14ac:dyDescent="0.25">
      <c r="A433" t="s">
        <v>67</v>
      </c>
      <c r="B433" t="s">
        <v>48</v>
      </c>
      <c r="C433">
        <v>6700</v>
      </c>
      <c r="D433" t="s">
        <v>59</v>
      </c>
      <c r="E433" t="s">
        <v>49</v>
      </c>
      <c r="F433" s="4">
        <v>151500</v>
      </c>
    </row>
    <row r="434" spans="1:6" hidden="1" x14ac:dyDescent="0.25">
      <c r="A434" t="s">
        <v>68</v>
      </c>
      <c r="B434" t="s">
        <v>31</v>
      </c>
      <c r="C434">
        <v>4000</v>
      </c>
      <c r="D434" t="s">
        <v>32</v>
      </c>
      <c r="E434" t="s">
        <v>31</v>
      </c>
      <c r="F434" s="4">
        <v>10257180</v>
      </c>
    </row>
    <row r="435" spans="1:6" x14ac:dyDescent="0.25">
      <c r="A435" t="s">
        <v>68</v>
      </c>
      <c r="B435" t="s">
        <v>31</v>
      </c>
      <c r="C435">
        <v>4100</v>
      </c>
      <c r="D435" t="s">
        <v>33</v>
      </c>
      <c r="E435" t="s">
        <v>31</v>
      </c>
      <c r="F435" s="4">
        <v>820000</v>
      </c>
    </row>
    <row r="436" spans="1:6" hidden="1" x14ac:dyDescent="0.25">
      <c r="A436" t="s">
        <v>68</v>
      </c>
      <c r="B436" t="s">
        <v>34</v>
      </c>
      <c r="C436">
        <v>5000</v>
      </c>
      <c r="D436" t="s">
        <v>35</v>
      </c>
      <c r="E436" t="s">
        <v>34</v>
      </c>
      <c r="F436" s="4">
        <v>974432.1</v>
      </c>
    </row>
    <row r="437" spans="1:6" hidden="1" x14ac:dyDescent="0.25">
      <c r="A437" t="s">
        <v>68</v>
      </c>
      <c r="B437" t="s">
        <v>34</v>
      </c>
      <c r="C437">
        <v>5300</v>
      </c>
      <c r="D437" t="s">
        <v>36</v>
      </c>
      <c r="E437" t="s">
        <v>34</v>
      </c>
      <c r="F437" s="4">
        <v>185000</v>
      </c>
    </row>
    <row r="438" spans="1:6" hidden="1" x14ac:dyDescent="0.25">
      <c r="A438" t="s">
        <v>68</v>
      </c>
      <c r="B438" t="s">
        <v>37</v>
      </c>
      <c r="C438">
        <v>6000</v>
      </c>
      <c r="D438" t="s">
        <v>38</v>
      </c>
      <c r="E438" t="s">
        <v>39</v>
      </c>
      <c r="F438" s="4">
        <v>915875</v>
      </c>
    </row>
    <row r="439" spans="1:6" hidden="1" x14ac:dyDescent="0.25">
      <c r="A439" t="s">
        <v>68</v>
      </c>
      <c r="B439" t="s">
        <v>37</v>
      </c>
      <c r="C439">
        <v>6010</v>
      </c>
      <c r="D439" t="s">
        <v>40</v>
      </c>
      <c r="E439" t="s">
        <v>39</v>
      </c>
      <c r="F439" s="4">
        <v>187754.38</v>
      </c>
    </row>
    <row r="440" spans="1:6" hidden="1" x14ac:dyDescent="0.25">
      <c r="A440" t="s">
        <v>68</v>
      </c>
      <c r="B440" t="s">
        <v>37</v>
      </c>
      <c r="C440">
        <v>6200</v>
      </c>
      <c r="D440" t="s">
        <v>41</v>
      </c>
      <c r="E440" t="s">
        <v>39</v>
      </c>
      <c r="F440" s="4">
        <v>28340</v>
      </c>
    </row>
    <row r="441" spans="1:6" hidden="1" x14ac:dyDescent="0.25">
      <c r="A441" t="s">
        <v>68</v>
      </c>
      <c r="B441" t="s">
        <v>37</v>
      </c>
      <c r="C441">
        <v>6300</v>
      </c>
      <c r="D441" t="s">
        <v>42</v>
      </c>
      <c r="E441" t="s">
        <v>39</v>
      </c>
      <c r="F441" s="4">
        <v>67580</v>
      </c>
    </row>
    <row r="442" spans="1:6" hidden="1" x14ac:dyDescent="0.25">
      <c r="A442" t="s">
        <v>68</v>
      </c>
      <c r="B442" t="s">
        <v>37</v>
      </c>
      <c r="C442">
        <v>6800</v>
      </c>
      <c r="D442" t="s">
        <v>43</v>
      </c>
      <c r="E442" t="s">
        <v>39</v>
      </c>
      <c r="F442" s="4">
        <v>17500</v>
      </c>
    </row>
    <row r="443" spans="1:6" hidden="1" x14ac:dyDescent="0.25">
      <c r="A443" t="s">
        <v>68</v>
      </c>
      <c r="B443" t="s">
        <v>44</v>
      </c>
      <c r="C443">
        <v>6000</v>
      </c>
      <c r="D443" t="s">
        <v>38</v>
      </c>
      <c r="E443" t="s">
        <v>39</v>
      </c>
      <c r="F443" s="4">
        <v>307333.33</v>
      </c>
    </row>
    <row r="444" spans="1:6" hidden="1" x14ac:dyDescent="0.25">
      <c r="A444" t="s">
        <v>68</v>
      </c>
      <c r="B444" t="s">
        <v>44</v>
      </c>
      <c r="C444">
        <v>6010</v>
      </c>
      <c r="D444" t="s">
        <v>40</v>
      </c>
      <c r="E444" t="s">
        <v>39</v>
      </c>
      <c r="F444" s="4">
        <v>63003.33</v>
      </c>
    </row>
    <row r="445" spans="1:6" hidden="1" x14ac:dyDescent="0.25">
      <c r="A445" t="s">
        <v>68</v>
      </c>
      <c r="B445" t="s">
        <v>44</v>
      </c>
      <c r="C445">
        <v>6200</v>
      </c>
      <c r="D445" t="s">
        <v>41</v>
      </c>
      <c r="E445" t="s">
        <v>39</v>
      </c>
      <c r="F445" s="4">
        <v>8320</v>
      </c>
    </row>
    <row r="446" spans="1:6" hidden="1" x14ac:dyDescent="0.25">
      <c r="A446" t="s">
        <v>68</v>
      </c>
      <c r="B446" t="s">
        <v>44</v>
      </c>
      <c r="C446">
        <v>6300</v>
      </c>
      <c r="D446" t="s">
        <v>42</v>
      </c>
      <c r="E446" t="s">
        <v>39</v>
      </c>
      <c r="F446" s="4">
        <v>9600</v>
      </c>
    </row>
    <row r="447" spans="1:6" hidden="1" x14ac:dyDescent="0.25">
      <c r="A447" t="s">
        <v>68</v>
      </c>
      <c r="B447" t="s">
        <v>44</v>
      </c>
      <c r="C447">
        <v>6800</v>
      </c>
      <c r="D447" t="s">
        <v>43</v>
      </c>
      <c r="E447" t="s">
        <v>39</v>
      </c>
      <c r="F447" s="4">
        <v>4000</v>
      </c>
    </row>
    <row r="448" spans="1:6" hidden="1" x14ac:dyDescent="0.25">
      <c r="A448" t="s">
        <v>68</v>
      </c>
      <c r="B448" t="s">
        <v>45</v>
      </c>
      <c r="C448">
        <v>6000</v>
      </c>
      <c r="D448" t="s">
        <v>38</v>
      </c>
      <c r="E448" t="s">
        <v>39</v>
      </c>
      <c r="F448" s="4">
        <v>329875</v>
      </c>
    </row>
    <row r="449" spans="1:6" hidden="1" x14ac:dyDescent="0.25">
      <c r="A449" t="s">
        <v>68</v>
      </c>
      <c r="B449" t="s">
        <v>45</v>
      </c>
      <c r="C449">
        <v>6010</v>
      </c>
      <c r="D449" t="s">
        <v>40</v>
      </c>
      <c r="E449" t="s">
        <v>39</v>
      </c>
      <c r="F449" s="4">
        <v>67624.38</v>
      </c>
    </row>
    <row r="450" spans="1:6" hidden="1" x14ac:dyDescent="0.25">
      <c r="A450" t="s">
        <v>68</v>
      </c>
      <c r="B450" t="s">
        <v>45</v>
      </c>
      <c r="C450">
        <v>6200</v>
      </c>
      <c r="D450" t="s">
        <v>41</v>
      </c>
      <c r="E450" t="s">
        <v>39</v>
      </c>
      <c r="F450" s="4">
        <v>10920</v>
      </c>
    </row>
    <row r="451" spans="1:6" hidden="1" x14ac:dyDescent="0.25">
      <c r="A451" t="s">
        <v>68</v>
      </c>
      <c r="B451" t="s">
        <v>45</v>
      </c>
      <c r="C451">
        <v>6300</v>
      </c>
      <c r="D451" t="s">
        <v>42</v>
      </c>
      <c r="E451" t="s">
        <v>39</v>
      </c>
      <c r="F451" s="4">
        <v>10920</v>
      </c>
    </row>
    <row r="452" spans="1:6" hidden="1" x14ac:dyDescent="0.25">
      <c r="A452" t="s">
        <v>68</v>
      </c>
      <c r="B452" t="s">
        <v>45</v>
      </c>
      <c r="C452">
        <v>6800</v>
      </c>
      <c r="D452" t="s">
        <v>43</v>
      </c>
      <c r="E452" t="s">
        <v>39</v>
      </c>
      <c r="F452" s="4">
        <v>8500</v>
      </c>
    </row>
    <row r="453" spans="1:6" hidden="1" x14ac:dyDescent="0.25">
      <c r="A453" t="s">
        <v>68</v>
      </c>
      <c r="B453" t="s">
        <v>46</v>
      </c>
      <c r="C453">
        <v>6000</v>
      </c>
      <c r="D453" t="s">
        <v>38</v>
      </c>
      <c r="E453" t="s">
        <v>47</v>
      </c>
      <c r="F453" s="4">
        <v>2421958.33</v>
      </c>
    </row>
    <row r="454" spans="1:6" hidden="1" x14ac:dyDescent="0.25">
      <c r="A454" t="s">
        <v>68</v>
      </c>
      <c r="B454" t="s">
        <v>46</v>
      </c>
      <c r="C454">
        <v>6010</v>
      </c>
      <c r="D454" t="s">
        <v>40</v>
      </c>
      <c r="E454" t="s">
        <v>47</v>
      </c>
      <c r="F454" s="4">
        <v>496501.46</v>
      </c>
    </row>
    <row r="455" spans="1:6" hidden="1" x14ac:dyDescent="0.25">
      <c r="A455" t="s">
        <v>68</v>
      </c>
      <c r="B455" t="s">
        <v>46</v>
      </c>
      <c r="C455">
        <v>6200</v>
      </c>
      <c r="D455" t="s">
        <v>41</v>
      </c>
      <c r="E455" t="s">
        <v>47</v>
      </c>
      <c r="F455" s="4">
        <v>45760</v>
      </c>
    </row>
    <row r="456" spans="1:6" hidden="1" x14ac:dyDescent="0.25">
      <c r="A456" t="s">
        <v>68</v>
      </c>
      <c r="B456" t="s">
        <v>46</v>
      </c>
      <c r="C456">
        <v>6300</v>
      </c>
      <c r="D456" t="s">
        <v>42</v>
      </c>
      <c r="E456" t="s">
        <v>47</v>
      </c>
      <c r="F456" s="4">
        <v>15840</v>
      </c>
    </row>
    <row r="457" spans="1:6" hidden="1" x14ac:dyDescent="0.25">
      <c r="A457" t="s">
        <v>68</v>
      </c>
      <c r="B457" t="s">
        <v>46</v>
      </c>
      <c r="C457">
        <v>6800</v>
      </c>
      <c r="D457" t="s">
        <v>43</v>
      </c>
      <c r="E457" t="s">
        <v>47</v>
      </c>
      <c r="F457" s="4">
        <v>31000</v>
      </c>
    </row>
    <row r="458" spans="1:6" hidden="1" x14ac:dyDescent="0.25">
      <c r="A458" t="s">
        <v>68</v>
      </c>
      <c r="B458" t="s">
        <v>48</v>
      </c>
      <c r="C458">
        <v>6000</v>
      </c>
      <c r="D458" t="s">
        <v>38</v>
      </c>
      <c r="E458" t="s">
        <v>49</v>
      </c>
      <c r="F458" s="4">
        <v>493125</v>
      </c>
    </row>
    <row r="459" spans="1:6" hidden="1" x14ac:dyDescent="0.25">
      <c r="A459" t="s">
        <v>68</v>
      </c>
      <c r="B459" t="s">
        <v>48</v>
      </c>
      <c r="C459">
        <v>6010</v>
      </c>
      <c r="D459" t="s">
        <v>40</v>
      </c>
      <c r="E459" t="s">
        <v>49</v>
      </c>
      <c r="F459" s="4">
        <v>101090.62</v>
      </c>
    </row>
    <row r="460" spans="1:6" hidden="1" x14ac:dyDescent="0.25">
      <c r="A460" t="s">
        <v>68</v>
      </c>
      <c r="B460" t="s">
        <v>48</v>
      </c>
      <c r="C460">
        <v>6200</v>
      </c>
      <c r="D460" t="s">
        <v>41</v>
      </c>
      <c r="E460" t="s">
        <v>49</v>
      </c>
      <c r="F460" s="4">
        <v>12220</v>
      </c>
    </row>
    <row r="461" spans="1:6" hidden="1" x14ac:dyDescent="0.25">
      <c r="A461" t="s">
        <v>68</v>
      </c>
      <c r="B461" t="s">
        <v>48</v>
      </c>
      <c r="C461">
        <v>6300</v>
      </c>
      <c r="D461" t="s">
        <v>42</v>
      </c>
      <c r="E461" t="s">
        <v>49</v>
      </c>
      <c r="F461" s="4">
        <v>4230</v>
      </c>
    </row>
    <row r="462" spans="1:6" hidden="1" x14ac:dyDescent="0.25">
      <c r="A462" t="s">
        <v>68</v>
      </c>
      <c r="B462" t="s">
        <v>48</v>
      </c>
      <c r="C462">
        <v>6800</v>
      </c>
      <c r="D462" t="s">
        <v>43</v>
      </c>
      <c r="E462" t="s">
        <v>49</v>
      </c>
      <c r="F462" s="4">
        <v>4000</v>
      </c>
    </row>
    <row r="463" spans="1:6" hidden="1" x14ac:dyDescent="0.25">
      <c r="A463" t="s">
        <v>68</v>
      </c>
      <c r="B463" t="s">
        <v>50</v>
      </c>
      <c r="C463">
        <v>6000</v>
      </c>
      <c r="D463" t="s">
        <v>38</v>
      </c>
      <c r="E463" t="s">
        <v>34</v>
      </c>
      <c r="F463" s="4">
        <v>275166.67</v>
      </c>
    </row>
    <row r="464" spans="1:6" hidden="1" x14ac:dyDescent="0.25">
      <c r="A464" t="s">
        <v>68</v>
      </c>
      <c r="B464" t="s">
        <v>50</v>
      </c>
      <c r="C464">
        <v>6010</v>
      </c>
      <c r="D464" t="s">
        <v>40</v>
      </c>
      <c r="E464" t="s">
        <v>34</v>
      </c>
      <c r="F464" s="4">
        <v>56409.17</v>
      </c>
    </row>
    <row r="465" spans="1:6" hidden="1" x14ac:dyDescent="0.25">
      <c r="A465" t="s">
        <v>68</v>
      </c>
      <c r="B465" t="s">
        <v>50</v>
      </c>
      <c r="C465">
        <v>6200</v>
      </c>
      <c r="D465" t="s">
        <v>41</v>
      </c>
      <c r="E465" t="s">
        <v>34</v>
      </c>
      <c r="F465" s="4">
        <v>11960</v>
      </c>
    </row>
    <row r="466" spans="1:6" hidden="1" x14ac:dyDescent="0.25">
      <c r="A466" t="s">
        <v>68</v>
      </c>
      <c r="B466" t="s">
        <v>50</v>
      </c>
      <c r="C466">
        <v>6300</v>
      </c>
      <c r="D466" t="s">
        <v>42</v>
      </c>
      <c r="E466" t="s">
        <v>34</v>
      </c>
      <c r="F466" s="4">
        <v>4140</v>
      </c>
    </row>
    <row r="467" spans="1:6" hidden="1" x14ac:dyDescent="0.25">
      <c r="A467" t="s">
        <v>68</v>
      </c>
      <c r="B467" t="s">
        <v>50</v>
      </c>
      <c r="C467">
        <v>6800</v>
      </c>
      <c r="D467" t="s">
        <v>43</v>
      </c>
      <c r="E467" t="s">
        <v>34</v>
      </c>
      <c r="F467" s="4">
        <v>8500</v>
      </c>
    </row>
    <row r="468" spans="1:6" hidden="1" x14ac:dyDescent="0.25">
      <c r="A468" t="s">
        <v>68</v>
      </c>
      <c r="B468" t="s">
        <v>51</v>
      </c>
      <c r="C468">
        <v>6000</v>
      </c>
      <c r="D468" t="s">
        <v>38</v>
      </c>
      <c r="E468" t="s">
        <v>34</v>
      </c>
      <c r="F468" s="4">
        <v>342750</v>
      </c>
    </row>
    <row r="469" spans="1:6" hidden="1" x14ac:dyDescent="0.25">
      <c r="A469" t="s">
        <v>68</v>
      </c>
      <c r="B469" t="s">
        <v>51</v>
      </c>
      <c r="C469">
        <v>6010</v>
      </c>
      <c r="D469" t="s">
        <v>40</v>
      </c>
      <c r="E469" t="s">
        <v>34</v>
      </c>
      <c r="F469" s="4">
        <v>70263.75</v>
      </c>
    </row>
    <row r="470" spans="1:6" hidden="1" x14ac:dyDescent="0.25">
      <c r="A470" t="s">
        <v>68</v>
      </c>
      <c r="B470" t="s">
        <v>51</v>
      </c>
      <c r="C470">
        <v>6200</v>
      </c>
      <c r="D470" t="s">
        <v>41</v>
      </c>
      <c r="E470" t="s">
        <v>34</v>
      </c>
      <c r="F470" s="4">
        <v>8580</v>
      </c>
    </row>
    <row r="471" spans="1:6" hidden="1" x14ac:dyDescent="0.25">
      <c r="A471" t="s">
        <v>68</v>
      </c>
      <c r="B471" t="s">
        <v>51</v>
      </c>
      <c r="C471">
        <v>6300</v>
      </c>
      <c r="D471" t="s">
        <v>42</v>
      </c>
      <c r="E471" t="s">
        <v>34</v>
      </c>
      <c r="F471" s="4">
        <v>17820</v>
      </c>
    </row>
    <row r="472" spans="1:6" hidden="1" x14ac:dyDescent="0.25">
      <c r="A472" t="s">
        <v>68</v>
      </c>
      <c r="B472" t="s">
        <v>51</v>
      </c>
      <c r="C472">
        <v>6800</v>
      </c>
      <c r="D472" t="s">
        <v>43</v>
      </c>
      <c r="E472" t="s">
        <v>34</v>
      </c>
      <c r="F472" s="4">
        <v>8500</v>
      </c>
    </row>
    <row r="473" spans="1:6" hidden="1" x14ac:dyDescent="0.25">
      <c r="A473" t="s">
        <v>68</v>
      </c>
      <c r="B473" t="s">
        <v>37</v>
      </c>
      <c r="C473">
        <v>6020</v>
      </c>
      <c r="D473" t="s">
        <v>52</v>
      </c>
      <c r="E473" t="s">
        <v>39</v>
      </c>
      <c r="F473" s="4">
        <v>185275.2</v>
      </c>
    </row>
    <row r="474" spans="1:6" hidden="1" x14ac:dyDescent="0.25">
      <c r="A474" t="s">
        <v>68</v>
      </c>
      <c r="B474" t="s">
        <v>46</v>
      </c>
      <c r="C474">
        <v>6100</v>
      </c>
      <c r="D474" t="s">
        <v>53</v>
      </c>
      <c r="E474" t="s">
        <v>47</v>
      </c>
      <c r="F474" s="4">
        <v>120000</v>
      </c>
    </row>
    <row r="475" spans="1:6" hidden="1" x14ac:dyDescent="0.25">
      <c r="A475" t="s">
        <v>68</v>
      </c>
      <c r="B475" t="s">
        <v>51</v>
      </c>
      <c r="C475">
        <v>6100</v>
      </c>
      <c r="D475" t="s">
        <v>53</v>
      </c>
      <c r="E475" t="s">
        <v>34</v>
      </c>
      <c r="F475" s="4">
        <v>55000</v>
      </c>
    </row>
    <row r="476" spans="1:6" hidden="1" x14ac:dyDescent="0.25">
      <c r="A476" t="s">
        <v>68</v>
      </c>
      <c r="B476" t="s">
        <v>44</v>
      </c>
      <c r="C476">
        <v>6400</v>
      </c>
      <c r="D476" t="s">
        <v>54</v>
      </c>
      <c r="E476" t="s">
        <v>39</v>
      </c>
      <c r="F476" s="4">
        <v>540000</v>
      </c>
    </row>
    <row r="477" spans="1:6" hidden="1" x14ac:dyDescent="0.25">
      <c r="A477" t="s">
        <v>68</v>
      </c>
      <c r="B477" t="s">
        <v>44</v>
      </c>
      <c r="C477">
        <v>6410</v>
      </c>
      <c r="D477" t="s">
        <v>55</v>
      </c>
      <c r="E477" t="s">
        <v>39</v>
      </c>
      <c r="F477" s="4">
        <v>420000</v>
      </c>
    </row>
    <row r="478" spans="1:6" hidden="1" x14ac:dyDescent="0.25">
      <c r="A478" t="s">
        <v>68</v>
      </c>
      <c r="B478" t="s">
        <v>48</v>
      </c>
      <c r="C478">
        <v>6500</v>
      </c>
      <c r="D478" t="s">
        <v>56</v>
      </c>
      <c r="E478" t="s">
        <v>49</v>
      </c>
      <c r="F478" s="4">
        <v>45000</v>
      </c>
    </row>
    <row r="479" spans="1:6" hidden="1" x14ac:dyDescent="0.25">
      <c r="A479" t="s">
        <v>68</v>
      </c>
      <c r="B479" t="s">
        <v>48</v>
      </c>
      <c r="C479">
        <v>6510</v>
      </c>
      <c r="D479" t="s">
        <v>57</v>
      </c>
      <c r="E479" t="s">
        <v>49</v>
      </c>
      <c r="F479" s="4">
        <v>30000</v>
      </c>
    </row>
    <row r="480" spans="1:6" hidden="1" x14ac:dyDescent="0.25">
      <c r="A480" t="s">
        <v>68</v>
      </c>
      <c r="B480" t="s">
        <v>48</v>
      </c>
      <c r="C480">
        <v>6600</v>
      </c>
      <c r="D480" t="s">
        <v>58</v>
      </c>
      <c r="E480" t="s">
        <v>49</v>
      </c>
      <c r="F480" s="4">
        <v>312000</v>
      </c>
    </row>
    <row r="481" spans="1:6" hidden="1" x14ac:dyDescent="0.25">
      <c r="A481" t="s">
        <v>68</v>
      </c>
      <c r="B481" t="s">
        <v>48</v>
      </c>
      <c r="C481">
        <v>6700</v>
      </c>
      <c r="D481" t="s">
        <v>59</v>
      </c>
      <c r="E481" t="s">
        <v>49</v>
      </c>
      <c r="F481" s="4">
        <v>153000</v>
      </c>
    </row>
    <row r="482" spans="1:6" hidden="1" x14ac:dyDescent="0.25">
      <c r="A482" t="s">
        <v>69</v>
      </c>
      <c r="B482" t="s">
        <v>31</v>
      </c>
      <c r="C482">
        <v>4000</v>
      </c>
      <c r="D482" t="s">
        <v>32</v>
      </c>
      <c r="E482" t="s">
        <v>31</v>
      </c>
      <c r="F482" s="4">
        <v>10385560</v>
      </c>
    </row>
    <row r="483" spans="1:6" x14ac:dyDescent="0.25">
      <c r="A483" t="s">
        <v>69</v>
      </c>
      <c r="B483" t="s">
        <v>31</v>
      </c>
      <c r="C483">
        <v>4100</v>
      </c>
      <c r="D483" t="s">
        <v>33</v>
      </c>
      <c r="E483" t="s">
        <v>31</v>
      </c>
      <c r="F483" s="4">
        <v>810000</v>
      </c>
    </row>
    <row r="484" spans="1:6" hidden="1" x14ac:dyDescent="0.25">
      <c r="A484" t="s">
        <v>69</v>
      </c>
      <c r="B484" t="s">
        <v>34</v>
      </c>
      <c r="C484">
        <v>5000</v>
      </c>
      <c r="D484" t="s">
        <v>35</v>
      </c>
      <c r="E484" t="s">
        <v>34</v>
      </c>
      <c r="F484" s="4">
        <v>986628.2</v>
      </c>
    </row>
    <row r="485" spans="1:6" hidden="1" x14ac:dyDescent="0.25">
      <c r="A485" t="s">
        <v>69</v>
      </c>
      <c r="B485" t="s">
        <v>34</v>
      </c>
      <c r="C485">
        <v>5300</v>
      </c>
      <c r="D485" t="s">
        <v>36</v>
      </c>
      <c r="E485" t="s">
        <v>34</v>
      </c>
      <c r="F485" s="4">
        <v>187000</v>
      </c>
    </row>
    <row r="486" spans="1:6" hidden="1" x14ac:dyDescent="0.25">
      <c r="A486" t="s">
        <v>69</v>
      </c>
      <c r="B486" t="s">
        <v>37</v>
      </c>
      <c r="C486">
        <v>6000</v>
      </c>
      <c r="D486" t="s">
        <v>38</v>
      </c>
      <c r="E486" t="s">
        <v>39</v>
      </c>
      <c r="F486" s="4">
        <v>921833.33</v>
      </c>
    </row>
    <row r="487" spans="1:6" hidden="1" x14ac:dyDescent="0.25">
      <c r="A487" t="s">
        <v>69</v>
      </c>
      <c r="B487" t="s">
        <v>37</v>
      </c>
      <c r="C487">
        <v>6010</v>
      </c>
      <c r="D487" t="s">
        <v>40</v>
      </c>
      <c r="E487" t="s">
        <v>39</v>
      </c>
      <c r="F487" s="4">
        <v>188975.83</v>
      </c>
    </row>
    <row r="488" spans="1:6" hidden="1" x14ac:dyDescent="0.25">
      <c r="A488" t="s">
        <v>69</v>
      </c>
      <c r="B488" t="s">
        <v>37</v>
      </c>
      <c r="C488">
        <v>6200</v>
      </c>
      <c r="D488" t="s">
        <v>41</v>
      </c>
      <c r="E488" t="s">
        <v>39</v>
      </c>
      <c r="F488" s="4">
        <v>28600</v>
      </c>
    </row>
    <row r="489" spans="1:6" hidden="1" x14ac:dyDescent="0.25">
      <c r="A489" t="s">
        <v>69</v>
      </c>
      <c r="B489" t="s">
        <v>37</v>
      </c>
      <c r="C489">
        <v>6300</v>
      </c>
      <c r="D489" t="s">
        <v>42</v>
      </c>
      <c r="E489" t="s">
        <v>39</v>
      </c>
      <c r="F489" s="4">
        <v>68200</v>
      </c>
    </row>
    <row r="490" spans="1:6" hidden="1" x14ac:dyDescent="0.25">
      <c r="A490" t="s">
        <v>69</v>
      </c>
      <c r="B490" t="s">
        <v>37</v>
      </c>
      <c r="C490">
        <v>6800</v>
      </c>
      <c r="D490" t="s">
        <v>43</v>
      </c>
      <c r="E490" t="s">
        <v>39</v>
      </c>
      <c r="F490" s="4">
        <v>8500</v>
      </c>
    </row>
    <row r="491" spans="1:6" hidden="1" x14ac:dyDescent="0.25">
      <c r="A491" t="s">
        <v>69</v>
      </c>
      <c r="B491" t="s">
        <v>44</v>
      </c>
      <c r="C491">
        <v>6000</v>
      </c>
      <c r="D491" t="s">
        <v>38</v>
      </c>
      <c r="E491" t="s">
        <v>39</v>
      </c>
      <c r="F491" s="4">
        <v>307333.33</v>
      </c>
    </row>
    <row r="492" spans="1:6" hidden="1" x14ac:dyDescent="0.25">
      <c r="A492" t="s">
        <v>69</v>
      </c>
      <c r="B492" t="s">
        <v>44</v>
      </c>
      <c r="C492">
        <v>6010</v>
      </c>
      <c r="D492" t="s">
        <v>40</v>
      </c>
      <c r="E492" t="s">
        <v>39</v>
      </c>
      <c r="F492" s="4">
        <v>63003.33</v>
      </c>
    </row>
    <row r="493" spans="1:6" hidden="1" x14ac:dyDescent="0.25">
      <c r="A493" t="s">
        <v>69</v>
      </c>
      <c r="B493" t="s">
        <v>44</v>
      </c>
      <c r="C493">
        <v>6200</v>
      </c>
      <c r="D493" t="s">
        <v>41</v>
      </c>
      <c r="E493" t="s">
        <v>39</v>
      </c>
      <c r="F493" s="4">
        <v>8320</v>
      </c>
    </row>
    <row r="494" spans="1:6" hidden="1" x14ac:dyDescent="0.25">
      <c r="A494" t="s">
        <v>69</v>
      </c>
      <c r="B494" t="s">
        <v>44</v>
      </c>
      <c r="C494">
        <v>6300</v>
      </c>
      <c r="D494" t="s">
        <v>42</v>
      </c>
      <c r="E494" t="s">
        <v>39</v>
      </c>
      <c r="F494" s="4">
        <v>9600</v>
      </c>
    </row>
    <row r="495" spans="1:6" hidden="1" x14ac:dyDescent="0.25">
      <c r="A495" t="s">
        <v>69</v>
      </c>
      <c r="B495" t="s">
        <v>44</v>
      </c>
      <c r="C495">
        <v>6800</v>
      </c>
      <c r="D495" t="s">
        <v>43</v>
      </c>
      <c r="E495" t="s">
        <v>39</v>
      </c>
      <c r="F495" s="4">
        <v>4000</v>
      </c>
    </row>
    <row r="496" spans="1:6" hidden="1" x14ac:dyDescent="0.25">
      <c r="A496" t="s">
        <v>69</v>
      </c>
      <c r="B496" t="s">
        <v>45</v>
      </c>
      <c r="C496">
        <v>6000</v>
      </c>
      <c r="D496" t="s">
        <v>38</v>
      </c>
      <c r="E496" t="s">
        <v>39</v>
      </c>
      <c r="F496" s="4">
        <v>329875</v>
      </c>
    </row>
    <row r="497" spans="1:6" hidden="1" x14ac:dyDescent="0.25">
      <c r="A497" t="s">
        <v>69</v>
      </c>
      <c r="B497" t="s">
        <v>45</v>
      </c>
      <c r="C497">
        <v>6010</v>
      </c>
      <c r="D497" t="s">
        <v>40</v>
      </c>
      <c r="E497" t="s">
        <v>39</v>
      </c>
      <c r="F497" s="4">
        <v>67624.38</v>
      </c>
    </row>
    <row r="498" spans="1:6" hidden="1" x14ac:dyDescent="0.25">
      <c r="A498" t="s">
        <v>69</v>
      </c>
      <c r="B498" t="s">
        <v>45</v>
      </c>
      <c r="C498">
        <v>6200</v>
      </c>
      <c r="D498" t="s">
        <v>41</v>
      </c>
      <c r="E498" t="s">
        <v>39</v>
      </c>
      <c r="F498" s="4">
        <v>10920</v>
      </c>
    </row>
    <row r="499" spans="1:6" hidden="1" x14ac:dyDescent="0.25">
      <c r="A499" t="s">
        <v>69</v>
      </c>
      <c r="B499" t="s">
        <v>45</v>
      </c>
      <c r="C499">
        <v>6300</v>
      </c>
      <c r="D499" t="s">
        <v>42</v>
      </c>
      <c r="E499" t="s">
        <v>39</v>
      </c>
      <c r="F499" s="4">
        <v>10920</v>
      </c>
    </row>
    <row r="500" spans="1:6" hidden="1" x14ac:dyDescent="0.25">
      <c r="A500" t="s">
        <v>69</v>
      </c>
      <c r="B500" t="s">
        <v>45</v>
      </c>
      <c r="C500">
        <v>6800</v>
      </c>
      <c r="D500" t="s">
        <v>43</v>
      </c>
      <c r="E500" t="s">
        <v>39</v>
      </c>
      <c r="F500" s="4">
        <v>4000</v>
      </c>
    </row>
    <row r="501" spans="1:6" hidden="1" x14ac:dyDescent="0.25">
      <c r="A501" t="s">
        <v>69</v>
      </c>
      <c r="B501" t="s">
        <v>46</v>
      </c>
      <c r="C501">
        <v>6000</v>
      </c>
      <c r="D501" t="s">
        <v>38</v>
      </c>
      <c r="E501" t="s">
        <v>47</v>
      </c>
      <c r="F501" s="4">
        <v>2473291.67</v>
      </c>
    </row>
    <row r="502" spans="1:6" hidden="1" x14ac:dyDescent="0.25">
      <c r="A502" t="s">
        <v>69</v>
      </c>
      <c r="B502" t="s">
        <v>46</v>
      </c>
      <c r="C502">
        <v>6010</v>
      </c>
      <c r="D502" t="s">
        <v>40</v>
      </c>
      <c r="E502" t="s">
        <v>47</v>
      </c>
      <c r="F502" s="4">
        <v>507024.79</v>
      </c>
    </row>
    <row r="503" spans="1:6" hidden="1" x14ac:dyDescent="0.25">
      <c r="A503" t="s">
        <v>69</v>
      </c>
      <c r="B503" t="s">
        <v>46</v>
      </c>
      <c r="C503">
        <v>6200</v>
      </c>
      <c r="D503" t="s">
        <v>41</v>
      </c>
      <c r="E503" t="s">
        <v>47</v>
      </c>
      <c r="F503" s="4">
        <v>46800</v>
      </c>
    </row>
    <row r="504" spans="1:6" hidden="1" x14ac:dyDescent="0.25">
      <c r="A504" t="s">
        <v>69</v>
      </c>
      <c r="B504" t="s">
        <v>46</v>
      </c>
      <c r="C504">
        <v>6300</v>
      </c>
      <c r="D504" t="s">
        <v>42</v>
      </c>
      <c r="E504" t="s">
        <v>47</v>
      </c>
      <c r="F504" s="4">
        <v>16200</v>
      </c>
    </row>
    <row r="505" spans="1:6" hidden="1" x14ac:dyDescent="0.25">
      <c r="A505" t="s">
        <v>69</v>
      </c>
      <c r="B505" t="s">
        <v>46</v>
      </c>
      <c r="C505">
        <v>6800</v>
      </c>
      <c r="D505" t="s">
        <v>43</v>
      </c>
      <c r="E505" t="s">
        <v>47</v>
      </c>
      <c r="F505" s="4">
        <v>22000</v>
      </c>
    </row>
    <row r="506" spans="1:6" hidden="1" x14ac:dyDescent="0.25">
      <c r="A506" t="s">
        <v>69</v>
      </c>
      <c r="B506" t="s">
        <v>48</v>
      </c>
      <c r="C506">
        <v>6000</v>
      </c>
      <c r="D506" t="s">
        <v>38</v>
      </c>
      <c r="E506" t="s">
        <v>49</v>
      </c>
      <c r="F506" s="4">
        <v>493125</v>
      </c>
    </row>
    <row r="507" spans="1:6" hidden="1" x14ac:dyDescent="0.25">
      <c r="A507" t="s">
        <v>69</v>
      </c>
      <c r="B507" t="s">
        <v>48</v>
      </c>
      <c r="C507">
        <v>6010</v>
      </c>
      <c r="D507" t="s">
        <v>40</v>
      </c>
      <c r="E507" t="s">
        <v>49</v>
      </c>
      <c r="F507" s="4">
        <v>101090.62</v>
      </c>
    </row>
    <row r="508" spans="1:6" hidden="1" x14ac:dyDescent="0.25">
      <c r="A508" t="s">
        <v>69</v>
      </c>
      <c r="B508" t="s">
        <v>48</v>
      </c>
      <c r="C508">
        <v>6200</v>
      </c>
      <c r="D508" t="s">
        <v>41</v>
      </c>
      <c r="E508" t="s">
        <v>49</v>
      </c>
      <c r="F508" s="4">
        <v>12220</v>
      </c>
    </row>
    <row r="509" spans="1:6" hidden="1" x14ac:dyDescent="0.25">
      <c r="A509" t="s">
        <v>69</v>
      </c>
      <c r="B509" t="s">
        <v>48</v>
      </c>
      <c r="C509">
        <v>6300</v>
      </c>
      <c r="D509" t="s">
        <v>42</v>
      </c>
      <c r="E509" t="s">
        <v>49</v>
      </c>
      <c r="F509" s="4">
        <v>4230</v>
      </c>
    </row>
    <row r="510" spans="1:6" hidden="1" x14ac:dyDescent="0.25">
      <c r="A510" t="s">
        <v>69</v>
      </c>
      <c r="B510" t="s">
        <v>48</v>
      </c>
      <c r="C510">
        <v>6800</v>
      </c>
      <c r="D510" t="s">
        <v>43</v>
      </c>
      <c r="E510" t="s">
        <v>49</v>
      </c>
      <c r="F510" s="4">
        <v>4000</v>
      </c>
    </row>
    <row r="511" spans="1:6" hidden="1" x14ac:dyDescent="0.25">
      <c r="A511" t="s">
        <v>69</v>
      </c>
      <c r="B511" t="s">
        <v>50</v>
      </c>
      <c r="C511">
        <v>6000</v>
      </c>
      <c r="D511" t="s">
        <v>38</v>
      </c>
      <c r="E511" t="s">
        <v>34</v>
      </c>
      <c r="F511" s="4">
        <v>275166.67</v>
      </c>
    </row>
    <row r="512" spans="1:6" hidden="1" x14ac:dyDescent="0.25">
      <c r="A512" t="s">
        <v>69</v>
      </c>
      <c r="B512" t="s">
        <v>50</v>
      </c>
      <c r="C512">
        <v>6010</v>
      </c>
      <c r="D512" t="s">
        <v>40</v>
      </c>
      <c r="E512" t="s">
        <v>34</v>
      </c>
      <c r="F512" s="4">
        <v>56409.17</v>
      </c>
    </row>
    <row r="513" spans="1:6" hidden="1" x14ac:dyDescent="0.25">
      <c r="A513" t="s">
        <v>69</v>
      </c>
      <c r="B513" t="s">
        <v>50</v>
      </c>
      <c r="C513">
        <v>6200</v>
      </c>
      <c r="D513" t="s">
        <v>41</v>
      </c>
      <c r="E513" t="s">
        <v>34</v>
      </c>
      <c r="F513" s="4">
        <v>11960</v>
      </c>
    </row>
    <row r="514" spans="1:6" hidden="1" x14ac:dyDescent="0.25">
      <c r="A514" t="s">
        <v>69</v>
      </c>
      <c r="B514" t="s">
        <v>50</v>
      </c>
      <c r="C514">
        <v>6300</v>
      </c>
      <c r="D514" t="s">
        <v>42</v>
      </c>
      <c r="E514" t="s">
        <v>34</v>
      </c>
      <c r="F514" s="4">
        <v>4140</v>
      </c>
    </row>
    <row r="515" spans="1:6" hidden="1" x14ac:dyDescent="0.25">
      <c r="A515" t="s">
        <v>69</v>
      </c>
      <c r="B515" t="s">
        <v>50</v>
      </c>
      <c r="C515">
        <v>6800</v>
      </c>
      <c r="D515" t="s">
        <v>43</v>
      </c>
      <c r="E515" t="s">
        <v>34</v>
      </c>
      <c r="F515" s="4">
        <v>4000</v>
      </c>
    </row>
    <row r="516" spans="1:6" hidden="1" x14ac:dyDescent="0.25">
      <c r="A516" t="s">
        <v>69</v>
      </c>
      <c r="B516" t="s">
        <v>51</v>
      </c>
      <c r="C516">
        <v>6000</v>
      </c>
      <c r="D516" t="s">
        <v>38</v>
      </c>
      <c r="E516" t="s">
        <v>34</v>
      </c>
      <c r="F516" s="4">
        <v>342750</v>
      </c>
    </row>
    <row r="517" spans="1:6" hidden="1" x14ac:dyDescent="0.25">
      <c r="A517" t="s">
        <v>69</v>
      </c>
      <c r="B517" t="s">
        <v>51</v>
      </c>
      <c r="C517">
        <v>6010</v>
      </c>
      <c r="D517" t="s">
        <v>40</v>
      </c>
      <c r="E517" t="s">
        <v>34</v>
      </c>
      <c r="F517" s="4">
        <v>70263.75</v>
      </c>
    </row>
    <row r="518" spans="1:6" hidden="1" x14ac:dyDescent="0.25">
      <c r="A518" t="s">
        <v>69</v>
      </c>
      <c r="B518" t="s">
        <v>51</v>
      </c>
      <c r="C518">
        <v>6200</v>
      </c>
      <c r="D518" t="s">
        <v>41</v>
      </c>
      <c r="E518" t="s">
        <v>34</v>
      </c>
      <c r="F518" s="4">
        <v>8580</v>
      </c>
    </row>
    <row r="519" spans="1:6" hidden="1" x14ac:dyDescent="0.25">
      <c r="A519" t="s">
        <v>69</v>
      </c>
      <c r="B519" t="s">
        <v>51</v>
      </c>
      <c r="C519">
        <v>6300</v>
      </c>
      <c r="D519" t="s">
        <v>42</v>
      </c>
      <c r="E519" t="s">
        <v>34</v>
      </c>
      <c r="F519" s="4">
        <v>17820</v>
      </c>
    </row>
    <row r="520" spans="1:6" hidden="1" x14ac:dyDescent="0.25">
      <c r="A520" t="s">
        <v>69</v>
      </c>
      <c r="B520" t="s">
        <v>51</v>
      </c>
      <c r="C520">
        <v>6800</v>
      </c>
      <c r="D520" t="s">
        <v>43</v>
      </c>
      <c r="E520" t="s">
        <v>34</v>
      </c>
      <c r="F520" s="4">
        <v>4000</v>
      </c>
    </row>
    <row r="521" spans="1:6" hidden="1" x14ac:dyDescent="0.25">
      <c r="A521" t="s">
        <v>69</v>
      </c>
      <c r="B521" t="s">
        <v>37</v>
      </c>
      <c r="C521">
        <v>6020</v>
      </c>
      <c r="D521" t="s">
        <v>52</v>
      </c>
      <c r="E521" t="s">
        <v>39</v>
      </c>
      <c r="F521" s="4">
        <v>252648</v>
      </c>
    </row>
    <row r="522" spans="1:6" hidden="1" x14ac:dyDescent="0.25">
      <c r="A522" t="s">
        <v>69</v>
      </c>
      <c r="B522" t="s">
        <v>46</v>
      </c>
      <c r="C522">
        <v>6100</v>
      </c>
      <c r="D522" t="s">
        <v>53</v>
      </c>
      <c r="E522" t="s">
        <v>47</v>
      </c>
      <c r="F522" s="4">
        <v>120000</v>
      </c>
    </row>
    <row r="523" spans="1:6" hidden="1" x14ac:dyDescent="0.25">
      <c r="A523" t="s">
        <v>69</v>
      </c>
      <c r="B523" t="s">
        <v>51</v>
      </c>
      <c r="C523">
        <v>6100</v>
      </c>
      <c r="D523" t="s">
        <v>53</v>
      </c>
      <c r="E523" t="s">
        <v>34</v>
      </c>
      <c r="F523" s="4">
        <v>55000</v>
      </c>
    </row>
    <row r="524" spans="1:6" hidden="1" x14ac:dyDescent="0.25">
      <c r="A524" t="s">
        <v>69</v>
      </c>
      <c r="B524" t="s">
        <v>44</v>
      </c>
      <c r="C524">
        <v>6400</v>
      </c>
      <c r="D524" t="s">
        <v>54</v>
      </c>
      <c r="E524" t="s">
        <v>39</v>
      </c>
      <c r="F524" s="4">
        <v>540000</v>
      </c>
    </row>
    <row r="525" spans="1:6" hidden="1" x14ac:dyDescent="0.25">
      <c r="A525" t="s">
        <v>69</v>
      </c>
      <c r="B525" t="s">
        <v>44</v>
      </c>
      <c r="C525">
        <v>6410</v>
      </c>
      <c r="D525" t="s">
        <v>55</v>
      </c>
      <c r="E525" t="s">
        <v>39</v>
      </c>
      <c r="F525" s="4">
        <v>55000</v>
      </c>
    </row>
    <row r="526" spans="1:6" hidden="1" x14ac:dyDescent="0.25">
      <c r="A526" t="s">
        <v>69</v>
      </c>
      <c r="B526" t="s">
        <v>48</v>
      </c>
      <c r="C526">
        <v>6500</v>
      </c>
      <c r="D526" t="s">
        <v>56</v>
      </c>
      <c r="E526" t="s">
        <v>49</v>
      </c>
      <c r="F526" s="4">
        <v>45000</v>
      </c>
    </row>
    <row r="527" spans="1:6" hidden="1" x14ac:dyDescent="0.25">
      <c r="A527" t="s">
        <v>69</v>
      </c>
      <c r="B527" t="s">
        <v>48</v>
      </c>
      <c r="C527">
        <v>6510</v>
      </c>
      <c r="D527" t="s">
        <v>57</v>
      </c>
      <c r="E527" t="s">
        <v>49</v>
      </c>
      <c r="F527" s="4">
        <v>30000</v>
      </c>
    </row>
    <row r="528" spans="1:6" hidden="1" x14ac:dyDescent="0.25">
      <c r="A528" t="s">
        <v>69</v>
      </c>
      <c r="B528" t="s">
        <v>48</v>
      </c>
      <c r="C528">
        <v>6600</v>
      </c>
      <c r="D528" t="s">
        <v>58</v>
      </c>
      <c r="E528" t="s">
        <v>49</v>
      </c>
      <c r="F528" s="4">
        <v>312000</v>
      </c>
    </row>
    <row r="529" spans="1:6" hidden="1" x14ac:dyDescent="0.25">
      <c r="A529" t="s">
        <v>69</v>
      </c>
      <c r="B529" t="s">
        <v>48</v>
      </c>
      <c r="C529">
        <v>6700</v>
      </c>
      <c r="D529" t="s">
        <v>59</v>
      </c>
      <c r="E529" t="s">
        <v>49</v>
      </c>
      <c r="F529" s="4">
        <v>154500</v>
      </c>
    </row>
    <row r="530" spans="1:6" hidden="1" x14ac:dyDescent="0.25">
      <c r="A530" t="s">
        <v>70</v>
      </c>
      <c r="B530" t="s">
        <v>31</v>
      </c>
      <c r="C530">
        <v>4000</v>
      </c>
      <c r="D530" t="s">
        <v>32</v>
      </c>
      <c r="E530" t="s">
        <v>31</v>
      </c>
      <c r="F530" s="4">
        <v>10596880</v>
      </c>
    </row>
    <row r="531" spans="1:6" x14ac:dyDescent="0.25">
      <c r="A531" t="s">
        <v>70</v>
      </c>
      <c r="B531" t="s">
        <v>31</v>
      </c>
      <c r="C531">
        <v>4100</v>
      </c>
      <c r="D531" t="s">
        <v>33</v>
      </c>
      <c r="E531" t="s">
        <v>31</v>
      </c>
      <c r="F531" s="4">
        <v>760000</v>
      </c>
    </row>
    <row r="532" spans="1:6" hidden="1" x14ac:dyDescent="0.25">
      <c r="A532" t="s">
        <v>70</v>
      </c>
      <c r="B532" t="s">
        <v>34</v>
      </c>
      <c r="C532">
        <v>5000</v>
      </c>
      <c r="D532" t="s">
        <v>35</v>
      </c>
      <c r="E532" t="s">
        <v>34</v>
      </c>
      <c r="F532" s="4">
        <v>1006703.6</v>
      </c>
    </row>
    <row r="533" spans="1:6" hidden="1" x14ac:dyDescent="0.25">
      <c r="A533" t="s">
        <v>70</v>
      </c>
      <c r="B533" t="s">
        <v>34</v>
      </c>
      <c r="C533">
        <v>5300</v>
      </c>
      <c r="D533" t="s">
        <v>36</v>
      </c>
      <c r="E533" t="s">
        <v>34</v>
      </c>
      <c r="F533" s="4">
        <v>189000</v>
      </c>
    </row>
    <row r="534" spans="1:6" hidden="1" x14ac:dyDescent="0.25">
      <c r="A534" t="s">
        <v>70</v>
      </c>
      <c r="B534" t="s">
        <v>37</v>
      </c>
      <c r="C534">
        <v>6000</v>
      </c>
      <c r="D534" t="s">
        <v>38</v>
      </c>
      <c r="E534" t="s">
        <v>39</v>
      </c>
      <c r="F534" s="4">
        <v>921833.33</v>
      </c>
    </row>
    <row r="535" spans="1:6" hidden="1" x14ac:dyDescent="0.25">
      <c r="A535" t="s">
        <v>70</v>
      </c>
      <c r="B535" t="s">
        <v>37</v>
      </c>
      <c r="C535">
        <v>6010</v>
      </c>
      <c r="D535" t="s">
        <v>40</v>
      </c>
      <c r="E535" t="s">
        <v>39</v>
      </c>
      <c r="F535" s="4">
        <v>188975.83</v>
      </c>
    </row>
    <row r="536" spans="1:6" hidden="1" x14ac:dyDescent="0.25">
      <c r="A536" t="s">
        <v>70</v>
      </c>
      <c r="B536" t="s">
        <v>37</v>
      </c>
      <c r="C536">
        <v>6200</v>
      </c>
      <c r="D536" t="s">
        <v>41</v>
      </c>
      <c r="E536" t="s">
        <v>39</v>
      </c>
      <c r="F536" s="4">
        <v>28600</v>
      </c>
    </row>
    <row r="537" spans="1:6" hidden="1" x14ac:dyDescent="0.25">
      <c r="A537" t="s">
        <v>70</v>
      </c>
      <c r="B537" t="s">
        <v>37</v>
      </c>
      <c r="C537">
        <v>6300</v>
      </c>
      <c r="D537" t="s">
        <v>42</v>
      </c>
      <c r="E537" t="s">
        <v>39</v>
      </c>
      <c r="F537" s="4">
        <v>68200</v>
      </c>
    </row>
    <row r="538" spans="1:6" hidden="1" x14ac:dyDescent="0.25">
      <c r="A538" t="s">
        <v>70</v>
      </c>
      <c r="B538" t="s">
        <v>37</v>
      </c>
      <c r="C538">
        <v>6800</v>
      </c>
      <c r="D538" t="s">
        <v>43</v>
      </c>
      <c r="E538" t="s">
        <v>39</v>
      </c>
      <c r="F538" s="4">
        <v>4000</v>
      </c>
    </row>
    <row r="539" spans="1:6" hidden="1" x14ac:dyDescent="0.25">
      <c r="A539" t="s">
        <v>70</v>
      </c>
      <c r="B539" t="s">
        <v>44</v>
      </c>
      <c r="C539">
        <v>6000</v>
      </c>
      <c r="D539" t="s">
        <v>38</v>
      </c>
      <c r="E539" t="s">
        <v>39</v>
      </c>
      <c r="F539" s="4">
        <v>307333.33</v>
      </c>
    </row>
    <row r="540" spans="1:6" hidden="1" x14ac:dyDescent="0.25">
      <c r="A540" t="s">
        <v>70</v>
      </c>
      <c r="B540" t="s">
        <v>44</v>
      </c>
      <c r="C540">
        <v>6010</v>
      </c>
      <c r="D540" t="s">
        <v>40</v>
      </c>
      <c r="E540" t="s">
        <v>39</v>
      </c>
      <c r="F540" s="4">
        <v>63003.33</v>
      </c>
    </row>
    <row r="541" spans="1:6" hidden="1" x14ac:dyDescent="0.25">
      <c r="A541" t="s">
        <v>70</v>
      </c>
      <c r="B541" t="s">
        <v>44</v>
      </c>
      <c r="C541">
        <v>6200</v>
      </c>
      <c r="D541" t="s">
        <v>41</v>
      </c>
      <c r="E541" t="s">
        <v>39</v>
      </c>
      <c r="F541" s="4">
        <v>8320</v>
      </c>
    </row>
    <row r="542" spans="1:6" hidden="1" x14ac:dyDescent="0.25">
      <c r="A542" t="s">
        <v>70</v>
      </c>
      <c r="B542" t="s">
        <v>44</v>
      </c>
      <c r="C542">
        <v>6300</v>
      </c>
      <c r="D542" t="s">
        <v>42</v>
      </c>
      <c r="E542" t="s">
        <v>39</v>
      </c>
      <c r="F542" s="4">
        <v>9600</v>
      </c>
    </row>
    <row r="543" spans="1:6" hidden="1" x14ac:dyDescent="0.25">
      <c r="A543" t="s">
        <v>70</v>
      </c>
      <c r="B543" t="s">
        <v>44</v>
      </c>
      <c r="C543">
        <v>6800</v>
      </c>
      <c r="D543" t="s">
        <v>43</v>
      </c>
      <c r="E543" t="s">
        <v>39</v>
      </c>
      <c r="F543" s="4">
        <v>4000</v>
      </c>
    </row>
    <row r="544" spans="1:6" hidden="1" x14ac:dyDescent="0.25">
      <c r="A544" t="s">
        <v>70</v>
      </c>
      <c r="B544" t="s">
        <v>45</v>
      </c>
      <c r="C544">
        <v>6000</v>
      </c>
      <c r="D544" t="s">
        <v>38</v>
      </c>
      <c r="E544" t="s">
        <v>39</v>
      </c>
      <c r="F544" s="4">
        <v>329875</v>
      </c>
    </row>
    <row r="545" spans="1:6" hidden="1" x14ac:dyDescent="0.25">
      <c r="A545" t="s">
        <v>70</v>
      </c>
      <c r="B545" t="s">
        <v>45</v>
      </c>
      <c r="C545">
        <v>6010</v>
      </c>
      <c r="D545" t="s">
        <v>40</v>
      </c>
      <c r="E545" t="s">
        <v>39</v>
      </c>
      <c r="F545" s="4">
        <v>67624.38</v>
      </c>
    </row>
    <row r="546" spans="1:6" hidden="1" x14ac:dyDescent="0.25">
      <c r="A546" t="s">
        <v>70</v>
      </c>
      <c r="B546" t="s">
        <v>45</v>
      </c>
      <c r="C546">
        <v>6200</v>
      </c>
      <c r="D546" t="s">
        <v>41</v>
      </c>
      <c r="E546" t="s">
        <v>39</v>
      </c>
      <c r="F546" s="4">
        <v>10920</v>
      </c>
    </row>
    <row r="547" spans="1:6" hidden="1" x14ac:dyDescent="0.25">
      <c r="A547" t="s">
        <v>70</v>
      </c>
      <c r="B547" t="s">
        <v>45</v>
      </c>
      <c r="C547">
        <v>6300</v>
      </c>
      <c r="D547" t="s">
        <v>42</v>
      </c>
      <c r="E547" t="s">
        <v>39</v>
      </c>
      <c r="F547" s="4">
        <v>10920</v>
      </c>
    </row>
    <row r="548" spans="1:6" hidden="1" x14ac:dyDescent="0.25">
      <c r="A548" t="s">
        <v>70</v>
      </c>
      <c r="B548" t="s">
        <v>45</v>
      </c>
      <c r="C548">
        <v>6800</v>
      </c>
      <c r="D548" t="s">
        <v>43</v>
      </c>
      <c r="E548" t="s">
        <v>39</v>
      </c>
      <c r="F548" s="4">
        <v>4000</v>
      </c>
    </row>
    <row r="549" spans="1:6" hidden="1" x14ac:dyDescent="0.25">
      <c r="A549" t="s">
        <v>70</v>
      </c>
      <c r="B549" t="s">
        <v>46</v>
      </c>
      <c r="C549">
        <v>6000</v>
      </c>
      <c r="D549" t="s">
        <v>38</v>
      </c>
      <c r="E549" t="s">
        <v>47</v>
      </c>
      <c r="F549" s="4">
        <v>2473291.67</v>
      </c>
    </row>
    <row r="550" spans="1:6" hidden="1" x14ac:dyDescent="0.25">
      <c r="A550" t="s">
        <v>70</v>
      </c>
      <c r="B550" t="s">
        <v>46</v>
      </c>
      <c r="C550">
        <v>6010</v>
      </c>
      <c r="D550" t="s">
        <v>40</v>
      </c>
      <c r="E550" t="s">
        <v>47</v>
      </c>
      <c r="F550" s="4">
        <v>507024.79</v>
      </c>
    </row>
    <row r="551" spans="1:6" hidden="1" x14ac:dyDescent="0.25">
      <c r="A551" t="s">
        <v>70</v>
      </c>
      <c r="B551" t="s">
        <v>46</v>
      </c>
      <c r="C551">
        <v>6200</v>
      </c>
      <c r="D551" t="s">
        <v>41</v>
      </c>
      <c r="E551" t="s">
        <v>47</v>
      </c>
      <c r="F551" s="4">
        <v>46800</v>
      </c>
    </row>
    <row r="552" spans="1:6" hidden="1" x14ac:dyDescent="0.25">
      <c r="A552" t="s">
        <v>70</v>
      </c>
      <c r="B552" t="s">
        <v>46</v>
      </c>
      <c r="C552">
        <v>6300</v>
      </c>
      <c r="D552" t="s">
        <v>42</v>
      </c>
      <c r="E552" t="s">
        <v>47</v>
      </c>
      <c r="F552" s="4">
        <v>16200</v>
      </c>
    </row>
    <row r="553" spans="1:6" hidden="1" x14ac:dyDescent="0.25">
      <c r="A553" t="s">
        <v>70</v>
      </c>
      <c r="B553" t="s">
        <v>46</v>
      </c>
      <c r="C553">
        <v>6800</v>
      </c>
      <c r="D553" t="s">
        <v>43</v>
      </c>
      <c r="E553" t="s">
        <v>47</v>
      </c>
      <c r="F553" s="4">
        <v>4000</v>
      </c>
    </row>
    <row r="554" spans="1:6" hidden="1" x14ac:dyDescent="0.25">
      <c r="A554" t="s">
        <v>70</v>
      </c>
      <c r="B554" t="s">
        <v>48</v>
      </c>
      <c r="C554">
        <v>6000</v>
      </c>
      <c r="D554" t="s">
        <v>38</v>
      </c>
      <c r="E554" t="s">
        <v>49</v>
      </c>
      <c r="F554" s="4">
        <v>493125</v>
      </c>
    </row>
    <row r="555" spans="1:6" hidden="1" x14ac:dyDescent="0.25">
      <c r="A555" t="s">
        <v>70</v>
      </c>
      <c r="B555" t="s">
        <v>48</v>
      </c>
      <c r="C555">
        <v>6010</v>
      </c>
      <c r="D555" t="s">
        <v>40</v>
      </c>
      <c r="E555" t="s">
        <v>49</v>
      </c>
      <c r="F555" s="4">
        <v>101090.62</v>
      </c>
    </row>
    <row r="556" spans="1:6" hidden="1" x14ac:dyDescent="0.25">
      <c r="A556" t="s">
        <v>70</v>
      </c>
      <c r="B556" t="s">
        <v>48</v>
      </c>
      <c r="C556">
        <v>6200</v>
      </c>
      <c r="D556" t="s">
        <v>41</v>
      </c>
      <c r="E556" t="s">
        <v>49</v>
      </c>
      <c r="F556" s="4">
        <v>12220</v>
      </c>
    </row>
    <row r="557" spans="1:6" hidden="1" x14ac:dyDescent="0.25">
      <c r="A557" t="s">
        <v>70</v>
      </c>
      <c r="B557" t="s">
        <v>48</v>
      </c>
      <c r="C557">
        <v>6300</v>
      </c>
      <c r="D557" t="s">
        <v>42</v>
      </c>
      <c r="E557" t="s">
        <v>49</v>
      </c>
      <c r="F557" s="4">
        <v>4230</v>
      </c>
    </row>
    <row r="558" spans="1:6" hidden="1" x14ac:dyDescent="0.25">
      <c r="A558" t="s">
        <v>70</v>
      </c>
      <c r="B558" t="s">
        <v>48</v>
      </c>
      <c r="C558">
        <v>6800</v>
      </c>
      <c r="D558" t="s">
        <v>43</v>
      </c>
      <c r="E558" t="s">
        <v>49</v>
      </c>
      <c r="F558" s="4">
        <v>4000</v>
      </c>
    </row>
    <row r="559" spans="1:6" hidden="1" x14ac:dyDescent="0.25">
      <c r="A559" t="s">
        <v>70</v>
      </c>
      <c r="B559" t="s">
        <v>50</v>
      </c>
      <c r="C559">
        <v>6000</v>
      </c>
      <c r="D559" t="s">
        <v>38</v>
      </c>
      <c r="E559" t="s">
        <v>34</v>
      </c>
      <c r="F559" s="4">
        <v>275166.67</v>
      </c>
    </row>
    <row r="560" spans="1:6" hidden="1" x14ac:dyDescent="0.25">
      <c r="A560" t="s">
        <v>70</v>
      </c>
      <c r="B560" t="s">
        <v>50</v>
      </c>
      <c r="C560">
        <v>6010</v>
      </c>
      <c r="D560" t="s">
        <v>40</v>
      </c>
      <c r="E560" t="s">
        <v>34</v>
      </c>
      <c r="F560" s="4">
        <v>56409.17</v>
      </c>
    </row>
    <row r="561" spans="1:6" hidden="1" x14ac:dyDescent="0.25">
      <c r="A561" t="s">
        <v>70</v>
      </c>
      <c r="B561" t="s">
        <v>50</v>
      </c>
      <c r="C561">
        <v>6200</v>
      </c>
      <c r="D561" t="s">
        <v>41</v>
      </c>
      <c r="E561" t="s">
        <v>34</v>
      </c>
      <c r="F561" s="4">
        <v>11960</v>
      </c>
    </row>
    <row r="562" spans="1:6" hidden="1" x14ac:dyDescent="0.25">
      <c r="A562" t="s">
        <v>70</v>
      </c>
      <c r="B562" t="s">
        <v>50</v>
      </c>
      <c r="C562">
        <v>6300</v>
      </c>
      <c r="D562" t="s">
        <v>42</v>
      </c>
      <c r="E562" t="s">
        <v>34</v>
      </c>
      <c r="F562" s="4">
        <v>4140</v>
      </c>
    </row>
    <row r="563" spans="1:6" hidden="1" x14ac:dyDescent="0.25">
      <c r="A563" t="s">
        <v>70</v>
      </c>
      <c r="B563" t="s">
        <v>50</v>
      </c>
      <c r="C563">
        <v>6800</v>
      </c>
      <c r="D563" t="s">
        <v>43</v>
      </c>
      <c r="E563" t="s">
        <v>34</v>
      </c>
      <c r="F563" s="4">
        <v>4000</v>
      </c>
    </row>
    <row r="564" spans="1:6" hidden="1" x14ac:dyDescent="0.25">
      <c r="A564" t="s">
        <v>70</v>
      </c>
      <c r="B564" t="s">
        <v>51</v>
      </c>
      <c r="C564">
        <v>6000</v>
      </c>
      <c r="D564" t="s">
        <v>38</v>
      </c>
      <c r="E564" t="s">
        <v>34</v>
      </c>
      <c r="F564" s="4">
        <v>342750</v>
      </c>
    </row>
    <row r="565" spans="1:6" hidden="1" x14ac:dyDescent="0.25">
      <c r="A565" t="s">
        <v>70</v>
      </c>
      <c r="B565" t="s">
        <v>51</v>
      </c>
      <c r="C565">
        <v>6010</v>
      </c>
      <c r="D565" t="s">
        <v>40</v>
      </c>
      <c r="E565" t="s">
        <v>34</v>
      </c>
      <c r="F565" s="4">
        <v>70263.75</v>
      </c>
    </row>
    <row r="566" spans="1:6" hidden="1" x14ac:dyDescent="0.25">
      <c r="A566" t="s">
        <v>70</v>
      </c>
      <c r="B566" t="s">
        <v>51</v>
      </c>
      <c r="C566">
        <v>6200</v>
      </c>
      <c r="D566" t="s">
        <v>41</v>
      </c>
      <c r="E566" t="s">
        <v>34</v>
      </c>
      <c r="F566" s="4">
        <v>8580</v>
      </c>
    </row>
    <row r="567" spans="1:6" hidden="1" x14ac:dyDescent="0.25">
      <c r="A567" t="s">
        <v>70</v>
      </c>
      <c r="B567" t="s">
        <v>51</v>
      </c>
      <c r="C567">
        <v>6300</v>
      </c>
      <c r="D567" t="s">
        <v>42</v>
      </c>
      <c r="E567" t="s">
        <v>34</v>
      </c>
      <c r="F567" s="4">
        <v>17820</v>
      </c>
    </row>
    <row r="568" spans="1:6" hidden="1" x14ac:dyDescent="0.25">
      <c r="A568" t="s">
        <v>70</v>
      </c>
      <c r="B568" t="s">
        <v>51</v>
      </c>
      <c r="C568">
        <v>6800</v>
      </c>
      <c r="D568" t="s">
        <v>43</v>
      </c>
      <c r="E568" t="s">
        <v>34</v>
      </c>
      <c r="F568" s="4">
        <v>4000</v>
      </c>
    </row>
    <row r="569" spans="1:6" hidden="1" x14ac:dyDescent="0.25">
      <c r="A569" t="s">
        <v>70</v>
      </c>
      <c r="B569" t="s">
        <v>37</v>
      </c>
      <c r="C569">
        <v>6020</v>
      </c>
      <c r="D569" t="s">
        <v>52</v>
      </c>
      <c r="E569" t="s">
        <v>39</v>
      </c>
      <c r="F569" s="4">
        <v>404236.79999999999</v>
      </c>
    </row>
    <row r="570" spans="1:6" hidden="1" x14ac:dyDescent="0.25">
      <c r="A570" t="s">
        <v>70</v>
      </c>
      <c r="B570" t="s">
        <v>46</v>
      </c>
      <c r="C570">
        <v>6100</v>
      </c>
      <c r="D570" t="s">
        <v>53</v>
      </c>
      <c r="E570" t="s">
        <v>47</v>
      </c>
      <c r="F570" s="4">
        <v>120000</v>
      </c>
    </row>
    <row r="571" spans="1:6" hidden="1" x14ac:dyDescent="0.25">
      <c r="A571" t="s">
        <v>70</v>
      </c>
      <c r="B571" t="s">
        <v>51</v>
      </c>
      <c r="C571">
        <v>6100</v>
      </c>
      <c r="D571" t="s">
        <v>53</v>
      </c>
      <c r="E571" t="s">
        <v>34</v>
      </c>
      <c r="F571" s="4">
        <v>55000</v>
      </c>
    </row>
    <row r="572" spans="1:6" hidden="1" x14ac:dyDescent="0.25">
      <c r="A572" t="s">
        <v>70</v>
      </c>
      <c r="B572" t="s">
        <v>44</v>
      </c>
      <c r="C572">
        <v>6400</v>
      </c>
      <c r="D572" t="s">
        <v>54</v>
      </c>
      <c r="E572" t="s">
        <v>39</v>
      </c>
      <c r="F572" s="4">
        <v>540000</v>
      </c>
    </row>
    <row r="573" spans="1:6" hidden="1" x14ac:dyDescent="0.25">
      <c r="A573" t="s">
        <v>70</v>
      </c>
      <c r="B573" t="s">
        <v>44</v>
      </c>
      <c r="C573">
        <v>6410</v>
      </c>
      <c r="D573" t="s">
        <v>55</v>
      </c>
      <c r="E573" t="s">
        <v>39</v>
      </c>
      <c r="F573" s="4">
        <v>55000</v>
      </c>
    </row>
    <row r="574" spans="1:6" hidden="1" x14ac:dyDescent="0.25">
      <c r="A574" t="s">
        <v>70</v>
      </c>
      <c r="B574" t="s">
        <v>48</v>
      </c>
      <c r="C574">
        <v>6500</v>
      </c>
      <c r="D574" t="s">
        <v>56</v>
      </c>
      <c r="E574" t="s">
        <v>49</v>
      </c>
      <c r="F574" s="4">
        <v>45000</v>
      </c>
    </row>
    <row r="575" spans="1:6" hidden="1" x14ac:dyDescent="0.25">
      <c r="A575" t="s">
        <v>70</v>
      </c>
      <c r="B575" t="s">
        <v>48</v>
      </c>
      <c r="C575">
        <v>6510</v>
      </c>
      <c r="D575" t="s">
        <v>57</v>
      </c>
      <c r="E575" t="s">
        <v>49</v>
      </c>
      <c r="F575" s="4">
        <v>30000</v>
      </c>
    </row>
    <row r="576" spans="1:6" hidden="1" x14ac:dyDescent="0.25">
      <c r="A576" t="s">
        <v>70</v>
      </c>
      <c r="B576" t="s">
        <v>48</v>
      </c>
      <c r="C576">
        <v>6600</v>
      </c>
      <c r="D576" t="s">
        <v>58</v>
      </c>
      <c r="E576" t="s">
        <v>49</v>
      </c>
      <c r="F576" s="4">
        <v>312000</v>
      </c>
    </row>
    <row r="577" spans="1:6" hidden="1" x14ac:dyDescent="0.25">
      <c r="A577" t="s">
        <v>70</v>
      </c>
      <c r="B577" t="s">
        <v>48</v>
      </c>
      <c r="C577">
        <v>6700</v>
      </c>
      <c r="D577" t="s">
        <v>59</v>
      </c>
      <c r="E577" t="s">
        <v>49</v>
      </c>
      <c r="F577" s="4">
        <v>156000</v>
      </c>
    </row>
  </sheetData>
  <autoFilter ref="A1:F577" xr:uid="{00000000-0009-0000-0000-000002000000}">
    <filterColumn colId="3">
      <filters>
        <filter val="Professional Services Revenue"/>
      </filters>
    </filterColumn>
  </autoFilter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H89"/>
  <sheetViews>
    <sheetView topLeftCell="E1" workbookViewId="0">
      <pane ySplit="1" topLeftCell="A75" activePane="bottomLeft" state="frozen"/>
      <selection pane="bottomLeft" activeCell="G23" sqref="G23:H24"/>
    </sheetView>
  </sheetViews>
  <sheetFormatPr defaultRowHeight="15" x14ac:dyDescent="0.25"/>
  <cols>
    <col min="1" max="3" width="12" customWidth="1"/>
    <col min="4" max="4" width="28" customWidth="1"/>
    <col min="5" max="5" width="20" customWidth="1"/>
    <col min="6" max="6" width="26" customWidth="1"/>
    <col min="7" max="7" width="76.140625" bestFit="1" customWidth="1"/>
    <col min="8" max="8" width="16" customWidth="1"/>
  </cols>
  <sheetData>
    <row r="1" spans="1:8" x14ac:dyDescent="0.25">
      <c r="A1" s="3" t="s">
        <v>71</v>
      </c>
      <c r="B1" s="3" t="s">
        <v>72</v>
      </c>
      <c r="C1" s="3" t="s">
        <v>26</v>
      </c>
      <c r="D1" s="3" t="s">
        <v>27</v>
      </c>
      <c r="E1" s="3" t="s">
        <v>25</v>
      </c>
      <c r="F1" s="3" t="s">
        <v>73</v>
      </c>
      <c r="G1" s="3" t="s">
        <v>74</v>
      </c>
      <c r="H1" s="3" t="s">
        <v>29</v>
      </c>
    </row>
    <row r="2" spans="1:8" hidden="1" x14ac:dyDescent="0.25">
      <c r="A2" t="s">
        <v>75</v>
      </c>
      <c r="B2" t="s">
        <v>76</v>
      </c>
      <c r="C2">
        <v>4000</v>
      </c>
      <c r="D2" t="s">
        <v>32</v>
      </c>
      <c r="E2" t="s">
        <v>31</v>
      </c>
      <c r="F2" t="s">
        <v>77</v>
      </c>
      <c r="G2" t="s">
        <v>78</v>
      </c>
      <c r="H2" s="4">
        <v>3055.56</v>
      </c>
    </row>
    <row r="3" spans="1:8" hidden="1" x14ac:dyDescent="0.25">
      <c r="A3" t="s">
        <v>79</v>
      </c>
      <c r="B3" t="s">
        <v>76</v>
      </c>
      <c r="C3">
        <v>4000</v>
      </c>
      <c r="D3" t="s">
        <v>32</v>
      </c>
      <c r="E3" t="s">
        <v>31</v>
      </c>
      <c r="F3" t="s">
        <v>80</v>
      </c>
      <c r="G3" t="s">
        <v>78</v>
      </c>
      <c r="H3" s="4">
        <v>82276.58</v>
      </c>
    </row>
    <row r="4" spans="1:8" hidden="1" x14ac:dyDescent="0.25">
      <c r="A4" t="s">
        <v>81</v>
      </c>
      <c r="B4" t="s">
        <v>76</v>
      </c>
      <c r="C4">
        <v>4000</v>
      </c>
      <c r="D4" t="s">
        <v>32</v>
      </c>
      <c r="E4" t="s">
        <v>31</v>
      </c>
      <c r="F4" t="s">
        <v>82</v>
      </c>
      <c r="G4" t="s">
        <v>78</v>
      </c>
      <c r="H4" s="4">
        <v>84740.6</v>
      </c>
    </row>
    <row r="5" spans="1:8" hidden="1" x14ac:dyDescent="0.25">
      <c r="A5" t="s">
        <v>83</v>
      </c>
      <c r="B5" t="s">
        <v>76</v>
      </c>
      <c r="C5">
        <v>4000</v>
      </c>
      <c r="D5" t="s">
        <v>32</v>
      </c>
      <c r="E5" t="s">
        <v>31</v>
      </c>
      <c r="F5" t="s">
        <v>84</v>
      </c>
      <c r="G5" t="s">
        <v>78</v>
      </c>
      <c r="H5" s="4">
        <v>134632.07</v>
      </c>
    </row>
    <row r="6" spans="1:8" hidden="1" x14ac:dyDescent="0.25">
      <c r="A6" t="s">
        <v>85</v>
      </c>
      <c r="B6" t="s">
        <v>76</v>
      </c>
      <c r="C6">
        <v>4000</v>
      </c>
      <c r="D6" t="s">
        <v>32</v>
      </c>
      <c r="E6" t="s">
        <v>31</v>
      </c>
      <c r="F6" t="s">
        <v>86</v>
      </c>
      <c r="G6" t="s">
        <v>78</v>
      </c>
      <c r="H6" s="4">
        <v>96766.71</v>
      </c>
    </row>
    <row r="7" spans="1:8" hidden="1" x14ac:dyDescent="0.25">
      <c r="A7" t="s">
        <v>87</v>
      </c>
      <c r="B7" t="s">
        <v>76</v>
      </c>
      <c r="C7">
        <v>4000</v>
      </c>
      <c r="D7" t="s">
        <v>32</v>
      </c>
      <c r="E7" t="s">
        <v>31</v>
      </c>
      <c r="F7" t="s">
        <v>88</v>
      </c>
      <c r="G7" t="s">
        <v>78</v>
      </c>
      <c r="H7" s="4">
        <v>129273.14</v>
      </c>
    </row>
    <row r="8" spans="1:8" hidden="1" x14ac:dyDescent="0.25">
      <c r="A8" t="s">
        <v>89</v>
      </c>
      <c r="B8" t="s">
        <v>76</v>
      </c>
      <c r="C8">
        <v>4000</v>
      </c>
      <c r="D8" t="s">
        <v>32</v>
      </c>
      <c r="E8" t="s">
        <v>31</v>
      </c>
      <c r="F8" t="s">
        <v>90</v>
      </c>
      <c r="G8" t="s">
        <v>78</v>
      </c>
      <c r="H8" s="4">
        <v>141774.92000000001</v>
      </c>
    </row>
    <row r="9" spans="1:8" hidden="1" x14ac:dyDescent="0.25">
      <c r="A9" t="s">
        <v>91</v>
      </c>
      <c r="B9" t="s">
        <v>76</v>
      </c>
      <c r="C9">
        <v>4000</v>
      </c>
      <c r="D9" t="s">
        <v>32</v>
      </c>
      <c r="E9" t="s">
        <v>31</v>
      </c>
      <c r="F9" t="s">
        <v>92</v>
      </c>
      <c r="G9" t="s">
        <v>78</v>
      </c>
      <c r="H9" s="4">
        <v>85645.4</v>
      </c>
    </row>
    <row r="10" spans="1:8" hidden="1" x14ac:dyDescent="0.25">
      <c r="A10" t="s">
        <v>93</v>
      </c>
      <c r="B10" t="s">
        <v>76</v>
      </c>
      <c r="C10">
        <v>4000</v>
      </c>
      <c r="D10" t="s">
        <v>32</v>
      </c>
      <c r="E10" t="s">
        <v>31</v>
      </c>
      <c r="F10" t="s">
        <v>94</v>
      </c>
      <c r="G10" t="s">
        <v>78</v>
      </c>
      <c r="H10" s="4">
        <v>150995.94</v>
      </c>
    </row>
    <row r="11" spans="1:8" hidden="1" x14ac:dyDescent="0.25">
      <c r="A11" t="s">
        <v>95</v>
      </c>
      <c r="B11" t="s">
        <v>76</v>
      </c>
      <c r="C11">
        <v>4000</v>
      </c>
      <c r="D11" t="s">
        <v>32</v>
      </c>
      <c r="E11" t="s">
        <v>31</v>
      </c>
      <c r="F11" t="s">
        <v>1483</v>
      </c>
      <c r="G11" t="s">
        <v>78</v>
      </c>
      <c r="H11" s="4">
        <v>133505.72</v>
      </c>
    </row>
    <row r="12" spans="1:8" hidden="1" x14ac:dyDescent="0.25">
      <c r="A12" t="s">
        <v>96</v>
      </c>
      <c r="B12" t="s">
        <v>76</v>
      </c>
      <c r="C12">
        <v>4000</v>
      </c>
      <c r="D12" t="s">
        <v>32</v>
      </c>
      <c r="E12" t="s">
        <v>31</v>
      </c>
      <c r="F12" t="s">
        <v>97</v>
      </c>
      <c r="G12" t="s">
        <v>78</v>
      </c>
      <c r="H12" s="4">
        <v>102723.05</v>
      </c>
    </row>
    <row r="13" spans="1:8" hidden="1" x14ac:dyDescent="0.25">
      <c r="A13" t="s">
        <v>98</v>
      </c>
      <c r="B13" t="s">
        <v>76</v>
      </c>
      <c r="C13">
        <v>4000</v>
      </c>
      <c r="D13" t="s">
        <v>32</v>
      </c>
      <c r="E13" t="s">
        <v>31</v>
      </c>
      <c r="F13" t="s">
        <v>99</v>
      </c>
      <c r="G13" t="s">
        <v>78</v>
      </c>
      <c r="H13" s="4">
        <v>101079.16</v>
      </c>
    </row>
    <row r="14" spans="1:8" hidden="1" x14ac:dyDescent="0.25">
      <c r="A14" t="s">
        <v>100</v>
      </c>
      <c r="B14" t="s">
        <v>76</v>
      </c>
      <c r="C14">
        <v>4000</v>
      </c>
      <c r="D14" t="s">
        <v>32</v>
      </c>
      <c r="E14" t="s">
        <v>31</v>
      </c>
      <c r="F14" t="s">
        <v>101</v>
      </c>
      <c r="G14" t="s">
        <v>78</v>
      </c>
      <c r="H14" s="4">
        <v>154835.01</v>
      </c>
    </row>
    <row r="15" spans="1:8" hidden="1" x14ac:dyDescent="0.25">
      <c r="A15" t="s">
        <v>102</v>
      </c>
      <c r="B15" t="s">
        <v>76</v>
      </c>
      <c r="C15">
        <v>4000</v>
      </c>
      <c r="D15" t="s">
        <v>32</v>
      </c>
      <c r="E15" t="s">
        <v>31</v>
      </c>
      <c r="F15" t="s">
        <v>103</v>
      </c>
      <c r="G15" t="s">
        <v>78</v>
      </c>
      <c r="H15" s="4">
        <v>110589.48</v>
      </c>
    </row>
    <row r="16" spans="1:8" hidden="1" x14ac:dyDescent="0.25">
      <c r="A16" t="s">
        <v>104</v>
      </c>
      <c r="B16" t="s">
        <v>76</v>
      </c>
      <c r="C16">
        <v>4000</v>
      </c>
      <c r="D16" t="s">
        <v>32</v>
      </c>
      <c r="E16" t="s">
        <v>31</v>
      </c>
      <c r="F16" t="s">
        <v>105</v>
      </c>
      <c r="G16" t="s">
        <v>78</v>
      </c>
      <c r="H16" s="4">
        <v>155925.01</v>
      </c>
    </row>
    <row r="17" spans="1:8" hidden="1" x14ac:dyDescent="0.25">
      <c r="A17" t="s">
        <v>106</v>
      </c>
      <c r="B17" t="s">
        <v>76</v>
      </c>
      <c r="C17">
        <v>4000</v>
      </c>
      <c r="D17" t="s">
        <v>32</v>
      </c>
      <c r="E17" t="s">
        <v>31</v>
      </c>
      <c r="F17" t="s">
        <v>107</v>
      </c>
      <c r="G17" t="s">
        <v>108</v>
      </c>
      <c r="H17" s="4">
        <v>8345664.9900000002</v>
      </c>
    </row>
    <row r="18" spans="1:8" hidden="1" x14ac:dyDescent="0.25">
      <c r="A18" t="s">
        <v>109</v>
      </c>
      <c r="B18" t="s">
        <v>76</v>
      </c>
      <c r="C18">
        <v>4000</v>
      </c>
      <c r="D18" t="s">
        <v>32</v>
      </c>
      <c r="E18" t="s">
        <v>31</v>
      </c>
      <c r="F18" t="s">
        <v>110</v>
      </c>
      <c r="G18" t="s">
        <v>111</v>
      </c>
      <c r="H18" s="4">
        <v>0</v>
      </c>
    </row>
    <row r="19" spans="1:8" hidden="1" x14ac:dyDescent="0.25">
      <c r="A19" t="s">
        <v>112</v>
      </c>
      <c r="B19" t="s">
        <v>76</v>
      </c>
      <c r="C19">
        <v>4100</v>
      </c>
      <c r="D19" t="s">
        <v>33</v>
      </c>
      <c r="E19" t="s">
        <v>31</v>
      </c>
      <c r="F19" t="s">
        <v>84</v>
      </c>
      <c r="G19" t="s">
        <v>113</v>
      </c>
      <c r="H19" s="4">
        <v>142000</v>
      </c>
    </row>
    <row r="20" spans="1:8" hidden="1" x14ac:dyDescent="0.25">
      <c r="A20" t="s">
        <v>114</v>
      </c>
      <c r="B20" t="s">
        <v>76</v>
      </c>
      <c r="C20">
        <v>4100</v>
      </c>
      <c r="D20" t="s">
        <v>33</v>
      </c>
      <c r="E20" t="s">
        <v>31</v>
      </c>
      <c r="F20" t="s">
        <v>88</v>
      </c>
      <c r="G20" t="s">
        <v>115</v>
      </c>
      <c r="H20" s="4">
        <v>118500</v>
      </c>
    </row>
    <row r="21" spans="1:8" hidden="1" x14ac:dyDescent="0.25">
      <c r="A21" t="s">
        <v>116</v>
      </c>
      <c r="B21" t="s">
        <v>76</v>
      </c>
      <c r="C21">
        <v>4100</v>
      </c>
      <c r="D21" t="s">
        <v>33</v>
      </c>
      <c r="E21" t="s">
        <v>31</v>
      </c>
      <c r="F21" t="s">
        <v>92</v>
      </c>
      <c r="G21" t="s">
        <v>117</v>
      </c>
      <c r="H21" s="4">
        <v>86400</v>
      </c>
    </row>
    <row r="22" spans="1:8" hidden="1" x14ac:dyDescent="0.25">
      <c r="A22" t="s">
        <v>118</v>
      </c>
      <c r="B22" t="s">
        <v>76</v>
      </c>
      <c r="C22">
        <v>4100</v>
      </c>
      <c r="D22" t="s">
        <v>33</v>
      </c>
      <c r="E22" t="s">
        <v>31</v>
      </c>
      <c r="F22" t="s">
        <v>94</v>
      </c>
      <c r="G22" t="s">
        <v>119</v>
      </c>
      <c r="H22" s="4">
        <v>41300</v>
      </c>
    </row>
    <row r="23" spans="1:8" hidden="1" x14ac:dyDescent="0.25">
      <c r="A23" t="s">
        <v>120</v>
      </c>
      <c r="B23" t="s">
        <v>76</v>
      </c>
      <c r="C23">
        <v>4100</v>
      </c>
      <c r="D23" t="s">
        <v>33</v>
      </c>
      <c r="E23" t="s">
        <v>31</v>
      </c>
      <c r="F23" t="s">
        <v>80</v>
      </c>
      <c r="G23" t="s">
        <v>121</v>
      </c>
      <c r="H23" s="4">
        <v>0</v>
      </c>
    </row>
    <row r="24" spans="1:8" hidden="1" x14ac:dyDescent="0.25">
      <c r="A24" t="s">
        <v>122</v>
      </c>
      <c r="B24" t="s">
        <v>76</v>
      </c>
      <c r="C24">
        <v>4100</v>
      </c>
      <c r="D24" t="s">
        <v>33</v>
      </c>
      <c r="E24" t="s">
        <v>31</v>
      </c>
      <c r="F24" t="s">
        <v>82</v>
      </c>
      <c r="G24" t="s">
        <v>123</v>
      </c>
      <c r="H24" s="4">
        <v>0</v>
      </c>
    </row>
    <row r="25" spans="1:8" hidden="1" x14ac:dyDescent="0.25">
      <c r="A25" t="s">
        <v>124</v>
      </c>
      <c r="B25" t="s">
        <v>76</v>
      </c>
      <c r="C25">
        <v>4100</v>
      </c>
      <c r="D25" t="s">
        <v>33</v>
      </c>
      <c r="E25" t="s">
        <v>31</v>
      </c>
      <c r="F25" t="s">
        <v>125</v>
      </c>
      <c r="G25" t="s">
        <v>126</v>
      </c>
      <c r="H25" s="4">
        <v>173200</v>
      </c>
    </row>
    <row r="26" spans="1:8" hidden="1" x14ac:dyDescent="0.25">
      <c r="A26" t="s">
        <v>127</v>
      </c>
      <c r="B26" t="s">
        <v>128</v>
      </c>
      <c r="C26">
        <v>5000</v>
      </c>
      <c r="D26" t="s">
        <v>35</v>
      </c>
      <c r="E26" t="s">
        <v>34</v>
      </c>
      <c r="F26" t="s">
        <v>1484</v>
      </c>
      <c r="G26" t="s">
        <v>1485</v>
      </c>
      <c r="H26" s="4">
        <v>96400</v>
      </c>
    </row>
    <row r="27" spans="1:8" hidden="1" x14ac:dyDescent="0.25">
      <c r="A27" t="s">
        <v>129</v>
      </c>
      <c r="B27" t="s">
        <v>130</v>
      </c>
      <c r="C27">
        <v>5000</v>
      </c>
      <c r="D27" t="s">
        <v>35</v>
      </c>
      <c r="E27" t="s">
        <v>34</v>
      </c>
      <c r="F27" t="s">
        <v>1484</v>
      </c>
      <c r="G27" t="s">
        <v>1486</v>
      </c>
      <c r="H27" s="4">
        <v>44800</v>
      </c>
    </row>
    <row r="28" spans="1:8" hidden="1" x14ac:dyDescent="0.25">
      <c r="A28" t="s">
        <v>131</v>
      </c>
      <c r="B28" t="s">
        <v>130</v>
      </c>
      <c r="C28">
        <v>5000</v>
      </c>
      <c r="D28" t="s">
        <v>35</v>
      </c>
      <c r="E28" t="s">
        <v>34</v>
      </c>
      <c r="F28" t="s">
        <v>1487</v>
      </c>
      <c r="G28" t="s">
        <v>132</v>
      </c>
      <c r="H28" s="4">
        <v>61200</v>
      </c>
    </row>
    <row r="29" spans="1:8" hidden="1" x14ac:dyDescent="0.25">
      <c r="A29" t="s">
        <v>133</v>
      </c>
      <c r="B29" t="s">
        <v>128</v>
      </c>
      <c r="C29">
        <v>5000</v>
      </c>
      <c r="D29" t="s">
        <v>35</v>
      </c>
      <c r="E29" t="s">
        <v>34</v>
      </c>
      <c r="F29" t="s">
        <v>1488</v>
      </c>
      <c r="G29" t="s">
        <v>134</v>
      </c>
      <c r="H29" s="4">
        <v>23900</v>
      </c>
    </row>
    <row r="30" spans="1:8" hidden="1" x14ac:dyDescent="0.25">
      <c r="A30" t="s">
        <v>135</v>
      </c>
      <c r="B30" t="s">
        <v>136</v>
      </c>
      <c r="C30">
        <v>5000</v>
      </c>
      <c r="D30" t="s">
        <v>35</v>
      </c>
      <c r="E30" t="s">
        <v>34</v>
      </c>
      <c r="F30" t="s">
        <v>1489</v>
      </c>
      <c r="G30" t="s">
        <v>137</v>
      </c>
      <c r="H30" s="4">
        <v>48700</v>
      </c>
    </row>
    <row r="31" spans="1:8" hidden="1" x14ac:dyDescent="0.25">
      <c r="A31" t="s">
        <v>138</v>
      </c>
      <c r="B31" t="s">
        <v>139</v>
      </c>
      <c r="C31">
        <v>5000</v>
      </c>
      <c r="D31" t="s">
        <v>35</v>
      </c>
      <c r="E31" t="s">
        <v>34</v>
      </c>
      <c r="F31" t="s">
        <v>1484</v>
      </c>
      <c r="G31" t="s">
        <v>1490</v>
      </c>
      <c r="H31" s="4">
        <v>848443.05</v>
      </c>
    </row>
    <row r="32" spans="1:8" hidden="1" x14ac:dyDescent="0.25">
      <c r="A32" t="s">
        <v>140</v>
      </c>
      <c r="B32" t="s">
        <v>141</v>
      </c>
      <c r="C32">
        <v>5300</v>
      </c>
      <c r="D32" t="s">
        <v>36</v>
      </c>
      <c r="E32" t="s">
        <v>34</v>
      </c>
      <c r="F32" t="s">
        <v>125</v>
      </c>
      <c r="G32" t="s">
        <v>142</v>
      </c>
      <c r="H32" s="4">
        <v>182464.7</v>
      </c>
    </row>
    <row r="33" spans="1:8" hidden="1" x14ac:dyDescent="0.25">
      <c r="A33" t="s">
        <v>143</v>
      </c>
      <c r="B33" t="s">
        <v>144</v>
      </c>
      <c r="C33">
        <v>6000</v>
      </c>
      <c r="D33" t="s">
        <v>38</v>
      </c>
      <c r="E33" t="s">
        <v>37</v>
      </c>
      <c r="F33" t="s">
        <v>1491</v>
      </c>
      <c r="G33" t="s">
        <v>145</v>
      </c>
      <c r="H33" s="4">
        <v>436436.18</v>
      </c>
    </row>
    <row r="34" spans="1:8" hidden="1" x14ac:dyDescent="0.25">
      <c r="A34" t="s">
        <v>146</v>
      </c>
      <c r="B34" t="s">
        <v>147</v>
      </c>
      <c r="C34">
        <v>6000</v>
      </c>
      <c r="D34" t="s">
        <v>38</v>
      </c>
      <c r="E34" t="s">
        <v>37</v>
      </c>
      <c r="F34" t="s">
        <v>1491</v>
      </c>
      <c r="G34" t="s">
        <v>148</v>
      </c>
      <c r="H34" s="4">
        <v>436436.18</v>
      </c>
    </row>
    <row r="35" spans="1:8" hidden="1" x14ac:dyDescent="0.25">
      <c r="A35" t="s">
        <v>149</v>
      </c>
      <c r="B35" t="s">
        <v>150</v>
      </c>
      <c r="C35">
        <v>6000</v>
      </c>
      <c r="D35" t="s">
        <v>38</v>
      </c>
      <c r="E35" t="s">
        <v>44</v>
      </c>
      <c r="F35" t="s">
        <v>1491</v>
      </c>
      <c r="G35" t="s">
        <v>145</v>
      </c>
      <c r="H35" s="4">
        <v>149392.68</v>
      </c>
    </row>
    <row r="36" spans="1:8" hidden="1" x14ac:dyDescent="0.25">
      <c r="A36" t="s">
        <v>151</v>
      </c>
      <c r="B36" t="s">
        <v>152</v>
      </c>
      <c r="C36">
        <v>6000</v>
      </c>
      <c r="D36" t="s">
        <v>38</v>
      </c>
      <c r="E36" t="s">
        <v>44</v>
      </c>
      <c r="F36" t="s">
        <v>1491</v>
      </c>
      <c r="G36" t="s">
        <v>148</v>
      </c>
      <c r="H36" s="4">
        <v>149392.68</v>
      </c>
    </row>
    <row r="37" spans="1:8" hidden="1" x14ac:dyDescent="0.25">
      <c r="A37" t="s">
        <v>153</v>
      </c>
      <c r="B37" t="s">
        <v>154</v>
      </c>
      <c r="C37">
        <v>6000</v>
      </c>
      <c r="D37" t="s">
        <v>38</v>
      </c>
      <c r="E37" t="s">
        <v>45</v>
      </c>
      <c r="F37" t="s">
        <v>1491</v>
      </c>
      <c r="G37" t="s">
        <v>145</v>
      </c>
      <c r="H37" s="4">
        <v>154233.56</v>
      </c>
    </row>
    <row r="38" spans="1:8" hidden="1" x14ac:dyDescent="0.25">
      <c r="A38" t="s">
        <v>155</v>
      </c>
      <c r="B38" t="s">
        <v>156</v>
      </c>
      <c r="C38">
        <v>6000</v>
      </c>
      <c r="D38" t="s">
        <v>38</v>
      </c>
      <c r="E38" t="s">
        <v>45</v>
      </c>
      <c r="F38" t="s">
        <v>1491</v>
      </c>
      <c r="G38" t="s">
        <v>148</v>
      </c>
      <c r="H38" s="4">
        <v>154233.56</v>
      </c>
    </row>
    <row r="39" spans="1:8" hidden="1" x14ac:dyDescent="0.25">
      <c r="A39" t="s">
        <v>157</v>
      </c>
      <c r="B39" t="s">
        <v>158</v>
      </c>
      <c r="C39">
        <v>6000</v>
      </c>
      <c r="D39" t="s">
        <v>38</v>
      </c>
      <c r="E39" t="s">
        <v>46</v>
      </c>
      <c r="F39" t="s">
        <v>1491</v>
      </c>
      <c r="G39" t="s">
        <v>145</v>
      </c>
      <c r="H39" s="4">
        <v>1103265.96</v>
      </c>
    </row>
    <row r="40" spans="1:8" hidden="1" x14ac:dyDescent="0.25">
      <c r="A40" t="s">
        <v>159</v>
      </c>
      <c r="B40" t="s">
        <v>160</v>
      </c>
      <c r="C40">
        <v>6000</v>
      </c>
      <c r="D40" t="s">
        <v>38</v>
      </c>
      <c r="E40" t="s">
        <v>46</v>
      </c>
      <c r="F40" t="s">
        <v>1491</v>
      </c>
      <c r="G40" t="s">
        <v>148</v>
      </c>
      <c r="H40" s="4">
        <v>1103265.96</v>
      </c>
    </row>
    <row r="41" spans="1:8" hidden="1" x14ac:dyDescent="0.25">
      <c r="A41" t="s">
        <v>161</v>
      </c>
      <c r="B41" t="s">
        <v>139</v>
      </c>
      <c r="C41">
        <v>6000</v>
      </c>
      <c r="D41" t="s">
        <v>38</v>
      </c>
      <c r="E41" t="s">
        <v>48</v>
      </c>
      <c r="F41" t="s">
        <v>1491</v>
      </c>
      <c r="G41" t="s">
        <v>145</v>
      </c>
      <c r="H41" s="4">
        <v>244503.58</v>
      </c>
    </row>
    <row r="42" spans="1:8" hidden="1" x14ac:dyDescent="0.25">
      <c r="A42" t="s">
        <v>162</v>
      </c>
      <c r="B42" t="s">
        <v>158</v>
      </c>
      <c r="C42">
        <v>6000</v>
      </c>
      <c r="D42" t="s">
        <v>38</v>
      </c>
      <c r="E42" t="s">
        <v>48</v>
      </c>
      <c r="F42" t="s">
        <v>1491</v>
      </c>
      <c r="G42" t="s">
        <v>148</v>
      </c>
      <c r="H42" s="4">
        <v>244503.58</v>
      </c>
    </row>
    <row r="43" spans="1:8" hidden="1" x14ac:dyDescent="0.25">
      <c r="A43" t="s">
        <v>163</v>
      </c>
      <c r="B43" t="s">
        <v>164</v>
      </c>
      <c r="C43">
        <v>6000</v>
      </c>
      <c r="D43" t="s">
        <v>38</v>
      </c>
      <c r="E43" t="s">
        <v>50</v>
      </c>
      <c r="F43" t="s">
        <v>1491</v>
      </c>
      <c r="G43" t="s">
        <v>145</v>
      </c>
      <c r="H43" s="4">
        <v>130304.94</v>
      </c>
    </row>
    <row r="44" spans="1:8" hidden="1" x14ac:dyDescent="0.25">
      <c r="A44" t="s">
        <v>165</v>
      </c>
      <c r="B44" t="s">
        <v>166</v>
      </c>
      <c r="C44">
        <v>6000</v>
      </c>
      <c r="D44" t="s">
        <v>38</v>
      </c>
      <c r="E44" t="s">
        <v>50</v>
      </c>
      <c r="F44" t="s">
        <v>1491</v>
      </c>
      <c r="G44" t="s">
        <v>148</v>
      </c>
      <c r="H44" s="4">
        <v>130304.94</v>
      </c>
    </row>
    <row r="45" spans="1:8" hidden="1" x14ac:dyDescent="0.25">
      <c r="A45" t="s">
        <v>167</v>
      </c>
      <c r="B45" t="s">
        <v>154</v>
      </c>
      <c r="C45">
        <v>6000</v>
      </c>
      <c r="D45" t="s">
        <v>38</v>
      </c>
      <c r="E45" t="s">
        <v>51</v>
      </c>
      <c r="F45" t="s">
        <v>1491</v>
      </c>
      <c r="G45" t="s">
        <v>145</v>
      </c>
      <c r="H45" s="4">
        <v>166910.18</v>
      </c>
    </row>
    <row r="46" spans="1:8" hidden="1" x14ac:dyDescent="0.25">
      <c r="A46" t="s">
        <v>168</v>
      </c>
      <c r="B46" t="s">
        <v>141</v>
      </c>
      <c r="C46">
        <v>6000</v>
      </c>
      <c r="D46" t="s">
        <v>38</v>
      </c>
      <c r="E46" t="s">
        <v>51</v>
      </c>
      <c r="F46" t="s">
        <v>1491</v>
      </c>
      <c r="G46" t="s">
        <v>148</v>
      </c>
      <c r="H46" s="4">
        <v>166910.18</v>
      </c>
    </row>
    <row r="47" spans="1:8" hidden="1" x14ac:dyDescent="0.25">
      <c r="A47" t="s">
        <v>169</v>
      </c>
      <c r="B47" t="s">
        <v>76</v>
      </c>
      <c r="C47">
        <v>6010</v>
      </c>
      <c r="D47" t="s">
        <v>40</v>
      </c>
      <c r="E47" t="s">
        <v>37</v>
      </c>
      <c r="F47" t="s">
        <v>1491</v>
      </c>
      <c r="G47" t="s">
        <v>170</v>
      </c>
      <c r="H47" s="4">
        <v>177461.53</v>
      </c>
    </row>
    <row r="48" spans="1:8" hidden="1" x14ac:dyDescent="0.25">
      <c r="A48" t="s">
        <v>171</v>
      </c>
      <c r="B48" t="s">
        <v>76</v>
      </c>
      <c r="C48">
        <v>6010</v>
      </c>
      <c r="D48" t="s">
        <v>40</v>
      </c>
      <c r="E48" t="s">
        <v>44</v>
      </c>
      <c r="F48" t="s">
        <v>1491</v>
      </c>
      <c r="G48" t="s">
        <v>170</v>
      </c>
      <c r="H48" s="4">
        <v>60672.33</v>
      </c>
    </row>
    <row r="49" spans="1:8" hidden="1" x14ac:dyDescent="0.25">
      <c r="A49" t="s">
        <v>172</v>
      </c>
      <c r="B49" t="s">
        <v>76</v>
      </c>
      <c r="C49">
        <v>6010</v>
      </c>
      <c r="D49" t="s">
        <v>40</v>
      </c>
      <c r="E49" t="s">
        <v>45</v>
      </c>
      <c r="F49" t="s">
        <v>1491</v>
      </c>
      <c r="G49" t="s">
        <v>170</v>
      </c>
      <c r="H49" s="4">
        <v>61910.69</v>
      </c>
    </row>
    <row r="50" spans="1:8" hidden="1" x14ac:dyDescent="0.25">
      <c r="A50" t="s">
        <v>173</v>
      </c>
      <c r="B50" t="s">
        <v>76</v>
      </c>
      <c r="C50">
        <v>6010</v>
      </c>
      <c r="D50" t="s">
        <v>40</v>
      </c>
      <c r="E50" t="s">
        <v>46</v>
      </c>
      <c r="F50" t="s">
        <v>1491</v>
      </c>
      <c r="G50" t="s">
        <v>170</v>
      </c>
      <c r="H50" s="4">
        <v>453533.47</v>
      </c>
    </row>
    <row r="51" spans="1:8" hidden="1" x14ac:dyDescent="0.25">
      <c r="A51" t="s">
        <v>174</v>
      </c>
      <c r="B51" t="s">
        <v>76</v>
      </c>
      <c r="C51">
        <v>6010</v>
      </c>
      <c r="D51" t="s">
        <v>40</v>
      </c>
      <c r="E51" t="s">
        <v>48</v>
      </c>
      <c r="F51" t="s">
        <v>1491</v>
      </c>
      <c r="G51" t="s">
        <v>170</v>
      </c>
      <c r="H51" s="4">
        <v>98915.7</v>
      </c>
    </row>
    <row r="52" spans="1:8" hidden="1" x14ac:dyDescent="0.25">
      <c r="A52" t="s">
        <v>175</v>
      </c>
      <c r="B52" t="s">
        <v>76</v>
      </c>
      <c r="C52">
        <v>6010</v>
      </c>
      <c r="D52" t="s">
        <v>40</v>
      </c>
      <c r="E52" t="s">
        <v>50</v>
      </c>
      <c r="F52" t="s">
        <v>1491</v>
      </c>
      <c r="G52" t="s">
        <v>170</v>
      </c>
      <c r="H52" s="4">
        <v>55315.28</v>
      </c>
    </row>
    <row r="53" spans="1:8" hidden="1" x14ac:dyDescent="0.25">
      <c r="A53" t="s">
        <v>176</v>
      </c>
      <c r="B53" t="s">
        <v>76</v>
      </c>
      <c r="C53">
        <v>6010</v>
      </c>
      <c r="D53" t="s">
        <v>40</v>
      </c>
      <c r="E53" t="s">
        <v>51</v>
      </c>
      <c r="F53" t="s">
        <v>1491</v>
      </c>
      <c r="G53" t="s">
        <v>170</v>
      </c>
      <c r="H53" s="4">
        <v>66989.460000000006</v>
      </c>
    </row>
    <row r="54" spans="1:8" hidden="1" x14ac:dyDescent="0.25">
      <c r="A54" t="s">
        <v>177</v>
      </c>
      <c r="B54" t="s">
        <v>76</v>
      </c>
      <c r="C54">
        <v>6020</v>
      </c>
      <c r="D54" t="s">
        <v>52</v>
      </c>
      <c r="E54" t="s">
        <v>37</v>
      </c>
      <c r="F54" t="s">
        <v>178</v>
      </c>
      <c r="G54" t="s">
        <v>179</v>
      </c>
      <c r="H54" s="4">
        <v>492890.11</v>
      </c>
    </row>
    <row r="55" spans="1:8" hidden="1" x14ac:dyDescent="0.25">
      <c r="A55" t="s">
        <v>180</v>
      </c>
      <c r="B55" t="s">
        <v>76</v>
      </c>
      <c r="C55">
        <v>6020</v>
      </c>
      <c r="D55" t="s">
        <v>52</v>
      </c>
      <c r="E55" t="s">
        <v>37</v>
      </c>
      <c r="F55" t="s">
        <v>178</v>
      </c>
      <c r="G55" t="s">
        <v>181</v>
      </c>
      <c r="H55" s="4">
        <v>113709.03</v>
      </c>
    </row>
    <row r="56" spans="1:8" hidden="1" x14ac:dyDescent="0.25">
      <c r="A56" t="s">
        <v>182</v>
      </c>
      <c r="B56" t="s">
        <v>183</v>
      </c>
      <c r="C56">
        <v>6100</v>
      </c>
      <c r="D56" t="s">
        <v>53</v>
      </c>
      <c r="E56" t="s">
        <v>46</v>
      </c>
      <c r="F56" t="s">
        <v>184</v>
      </c>
      <c r="G56" t="s">
        <v>185</v>
      </c>
      <c r="H56" s="4">
        <v>39620.43</v>
      </c>
    </row>
    <row r="57" spans="1:8" hidden="1" x14ac:dyDescent="0.25">
      <c r="A57" t="s">
        <v>186</v>
      </c>
      <c r="B57" t="s">
        <v>187</v>
      </c>
      <c r="C57">
        <v>6100</v>
      </c>
      <c r="D57" t="s">
        <v>53</v>
      </c>
      <c r="E57" t="s">
        <v>46</v>
      </c>
      <c r="F57" t="s">
        <v>125</v>
      </c>
      <c r="G57" t="s">
        <v>188</v>
      </c>
      <c r="H57" s="4">
        <v>116400</v>
      </c>
    </row>
    <row r="58" spans="1:8" hidden="1" x14ac:dyDescent="0.25">
      <c r="A58" t="s">
        <v>189</v>
      </c>
      <c r="B58" t="s">
        <v>190</v>
      </c>
      <c r="C58">
        <v>6100</v>
      </c>
      <c r="D58" t="s">
        <v>53</v>
      </c>
      <c r="E58" t="s">
        <v>51</v>
      </c>
      <c r="F58" t="s">
        <v>125</v>
      </c>
      <c r="G58" t="s">
        <v>191</v>
      </c>
      <c r="H58" s="4">
        <v>55137.36</v>
      </c>
    </row>
    <row r="59" spans="1:8" hidden="1" x14ac:dyDescent="0.25">
      <c r="A59" t="s">
        <v>192</v>
      </c>
      <c r="B59" t="s">
        <v>193</v>
      </c>
      <c r="C59">
        <v>6200</v>
      </c>
      <c r="D59" t="s">
        <v>41</v>
      </c>
      <c r="E59" t="s">
        <v>37</v>
      </c>
      <c r="F59" t="s">
        <v>125</v>
      </c>
      <c r="G59" t="s">
        <v>194</v>
      </c>
      <c r="H59" s="4">
        <v>25514.69</v>
      </c>
    </row>
    <row r="60" spans="1:8" hidden="1" x14ac:dyDescent="0.25">
      <c r="A60" t="s">
        <v>195</v>
      </c>
      <c r="B60" t="s">
        <v>150</v>
      </c>
      <c r="C60">
        <v>6200</v>
      </c>
      <c r="D60" t="s">
        <v>41</v>
      </c>
      <c r="E60" t="s">
        <v>44</v>
      </c>
      <c r="F60" t="s">
        <v>125</v>
      </c>
      <c r="G60" t="s">
        <v>194</v>
      </c>
      <c r="H60" s="4">
        <v>9208.1200000000008</v>
      </c>
    </row>
    <row r="61" spans="1:8" hidden="1" x14ac:dyDescent="0.25">
      <c r="A61" t="s">
        <v>196</v>
      </c>
      <c r="B61" t="s">
        <v>197</v>
      </c>
      <c r="C61">
        <v>6200</v>
      </c>
      <c r="D61" t="s">
        <v>41</v>
      </c>
      <c r="E61" t="s">
        <v>45</v>
      </c>
      <c r="F61" t="s">
        <v>125</v>
      </c>
      <c r="G61" t="s">
        <v>194</v>
      </c>
      <c r="H61" s="4">
        <v>9955.7000000000007</v>
      </c>
    </row>
    <row r="62" spans="1:8" hidden="1" x14ac:dyDescent="0.25">
      <c r="A62" t="s">
        <v>198</v>
      </c>
      <c r="B62" t="s">
        <v>150</v>
      </c>
      <c r="C62">
        <v>6200</v>
      </c>
      <c r="D62" t="s">
        <v>41</v>
      </c>
      <c r="E62" t="s">
        <v>46</v>
      </c>
      <c r="F62" t="s">
        <v>125</v>
      </c>
      <c r="G62" t="s">
        <v>194</v>
      </c>
      <c r="H62" s="4">
        <v>38521.83</v>
      </c>
    </row>
    <row r="63" spans="1:8" hidden="1" x14ac:dyDescent="0.25">
      <c r="A63" t="s">
        <v>199</v>
      </c>
      <c r="B63" t="s">
        <v>200</v>
      </c>
      <c r="C63">
        <v>6200</v>
      </c>
      <c r="D63" t="s">
        <v>41</v>
      </c>
      <c r="E63" t="s">
        <v>48</v>
      </c>
      <c r="F63" t="s">
        <v>125</v>
      </c>
      <c r="G63" t="s">
        <v>194</v>
      </c>
      <c r="H63" s="4">
        <v>12090.71</v>
      </c>
    </row>
    <row r="64" spans="1:8" hidden="1" x14ac:dyDescent="0.25">
      <c r="A64" t="s">
        <v>201</v>
      </c>
      <c r="B64" t="s">
        <v>152</v>
      </c>
      <c r="C64">
        <v>6200</v>
      </c>
      <c r="D64" t="s">
        <v>41</v>
      </c>
      <c r="E64" t="s">
        <v>50</v>
      </c>
      <c r="F64" t="s">
        <v>125</v>
      </c>
      <c r="G64" t="s">
        <v>194</v>
      </c>
      <c r="H64" s="4">
        <v>11101.4</v>
      </c>
    </row>
    <row r="65" spans="1:8" hidden="1" x14ac:dyDescent="0.25">
      <c r="A65" t="s">
        <v>202</v>
      </c>
      <c r="B65" t="s">
        <v>130</v>
      </c>
      <c r="C65">
        <v>6200</v>
      </c>
      <c r="D65" t="s">
        <v>41</v>
      </c>
      <c r="E65" t="s">
        <v>51</v>
      </c>
      <c r="F65" t="s">
        <v>125</v>
      </c>
      <c r="G65" t="s">
        <v>194</v>
      </c>
      <c r="H65" s="4">
        <v>8322.5</v>
      </c>
    </row>
    <row r="66" spans="1:8" hidden="1" x14ac:dyDescent="0.25">
      <c r="A66" t="s">
        <v>203</v>
      </c>
      <c r="B66" t="s">
        <v>152</v>
      </c>
      <c r="C66">
        <v>6300</v>
      </c>
      <c r="D66" t="s">
        <v>42</v>
      </c>
      <c r="E66" t="s">
        <v>37</v>
      </c>
      <c r="F66" t="s">
        <v>1492</v>
      </c>
      <c r="G66" t="s">
        <v>204</v>
      </c>
      <c r="H66" s="4">
        <v>60428.58</v>
      </c>
    </row>
    <row r="67" spans="1:8" hidden="1" x14ac:dyDescent="0.25">
      <c r="A67" t="s">
        <v>205</v>
      </c>
      <c r="B67" t="s">
        <v>206</v>
      </c>
      <c r="C67">
        <v>6300</v>
      </c>
      <c r="D67" t="s">
        <v>42</v>
      </c>
      <c r="E67" t="s">
        <v>44</v>
      </c>
      <c r="F67" t="s">
        <v>1492</v>
      </c>
      <c r="G67" t="s">
        <v>204</v>
      </c>
      <c r="H67" s="4">
        <v>8748.82</v>
      </c>
    </row>
    <row r="68" spans="1:8" hidden="1" x14ac:dyDescent="0.25">
      <c r="A68" t="s">
        <v>207</v>
      </c>
      <c r="B68" t="s">
        <v>139</v>
      </c>
      <c r="C68">
        <v>6300</v>
      </c>
      <c r="D68" t="s">
        <v>42</v>
      </c>
      <c r="E68" t="s">
        <v>45</v>
      </c>
      <c r="F68" t="s">
        <v>1492</v>
      </c>
      <c r="G68" t="s">
        <v>204</v>
      </c>
      <c r="H68" s="4">
        <v>9371.33</v>
      </c>
    </row>
    <row r="69" spans="1:8" hidden="1" x14ac:dyDescent="0.25">
      <c r="A69" t="s">
        <v>208</v>
      </c>
      <c r="B69" t="s">
        <v>209</v>
      </c>
      <c r="C69">
        <v>6300</v>
      </c>
      <c r="D69" t="s">
        <v>42</v>
      </c>
      <c r="E69" t="s">
        <v>46</v>
      </c>
      <c r="F69" t="s">
        <v>1492</v>
      </c>
      <c r="G69" t="s">
        <v>204</v>
      </c>
      <c r="H69" s="4">
        <v>14659.37</v>
      </c>
    </row>
    <row r="70" spans="1:8" hidden="1" x14ac:dyDescent="0.25">
      <c r="A70" t="s">
        <v>210</v>
      </c>
      <c r="B70" t="s">
        <v>150</v>
      </c>
      <c r="C70">
        <v>6300</v>
      </c>
      <c r="D70" t="s">
        <v>42</v>
      </c>
      <c r="E70" t="s">
        <v>48</v>
      </c>
      <c r="F70" t="s">
        <v>1492</v>
      </c>
      <c r="G70" t="s">
        <v>204</v>
      </c>
      <c r="H70" s="4">
        <v>4436.42</v>
      </c>
    </row>
    <row r="71" spans="1:8" hidden="1" x14ac:dyDescent="0.25">
      <c r="A71" t="s">
        <v>211</v>
      </c>
      <c r="B71" t="s">
        <v>144</v>
      </c>
      <c r="C71">
        <v>6300</v>
      </c>
      <c r="D71" t="s">
        <v>42</v>
      </c>
      <c r="E71" t="s">
        <v>50</v>
      </c>
      <c r="F71" t="s">
        <v>1492</v>
      </c>
      <c r="G71" t="s">
        <v>204</v>
      </c>
      <c r="H71" s="4">
        <v>4362.59</v>
      </c>
    </row>
    <row r="72" spans="1:8" hidden="1" x14ac:dyDescent="0.25">
      <c r="A72" t="s">
        <v>212</v>
      </c>
      <c r="B72" t="s">
        <v>136</v>
      </c>
      <c r="C72">
        <v>6300</v>
      </c>
      <c r="D72" t="s">
        <v>42</v>
      </c>
      <c r="E72" t="s">
        <v>51</v>
      </c>
      <c r="F72" t="s">
        <v>1492</v>
      </c>
      <c r="G72" t="s">
        <v>204</v>
      </c>
      <c r="H72" s="4">
        <v>18137.38</v>
      </c>
    </row>
    <row r="73" spans="1:8" hidden="1" x14ac:dyDescent="0.25">
      <c r="A73" t="s">
        <v>213</v>
      </c>
      <c r="B73" t="s">
        <v>128</v>
      </c>
      <c r="C73">
        <v>6400</v>
      </c>
      <c r="D73" t="s">
        <v>54</v>
      </c>
      <c r="E73" t="s">
        <v>44</v>
      </c>
      <c r="F73" t="s">
        <v>1493</v>
      </c>
      <c r="G73" t="s">
        <v>214</v>
      </c>
      <c r="H73" s="4">
        <v>389136.15</v>
      </c>
    </row>
    <row r="74" spans="1:8" hidden="1" x14ac:dyDescent="0.25">
      <c r="A74" t="s">
        <v>215</v>
      </c>
      <c r="B74" t="s">
        <v>130</v>
      </c>
      <c r="C74">
        <v>6400</v>
      </c>
      <c r="D74" t="s">
        <v>54</v>
      </c>
      <c r="E74" t="s">
        <v>44</v>
      </c>
      <c r="F74" t="s">
        <v>125</v>
      </c>
      <c r="G74" t="s">
        <v>216</v>
      </c>
      <c r="H74" s="4">
        <v>238502.8</v>
      </c>
    </row>
    <row r="75" spans="1:8" x14ac:dyDescent="0.25">
      <c r="A75" t="s">
        <v>217</v>
      </c>
      <c r="B75" t="s">
        <v>206</v>
      </c>
      <c r="C75">
        <v>6410</v>
      </c>
      <c r="D75" t="s">
        <v>55</v>
      </c>
      <c r="E75" t="s">
        <v>44</v>
      </c>
      <c r="F75" t="s">
        <v>218</v>
      </c>
      <c r="G75" t="s">
        <v>219</v>
      </c>
      <c r="H75" s="4">
        <v>318400</v>
      </c>
    </row>
    <row r="76" spans="1:8" x14ac:dyDescent="0.25">
      <c r="A76" t="s">
        <v>220</v>
      </c>
      <c r="B76" t="s">
        <v>166</v>
      </c>
      <c r="C76">
        <v>6410</v>
      </c>
      <c r="D76" t="s">
        <v>55</v>
      </c>
      <c r="E76" t="s">
        <v>44</v>
      </c>
      <c r="F76" t="s">
        <v>125</v>
      </c>
      <c r="G76" t="s">
        <v>221</v>
      </c>
      <c r="H76" s="4">
        <v>74300</v>
      </c>
    </row>
    <row r="77" spans="1:8" hidden="1" x14ac:dyDescent="0.25">
      <c r="A77" t="s">
        <v>222</v>
      </c>
      <c r="B77" t="s">
        <v>160</v>
      </c>
      <c r="C77">
        <v>6500</v>
      </c>
      <c r="D77" t="s">
        <v>56</v>
      </c>
      <c r="E77" t="s">
        <v>48</v>
      </c>
      <c r="F77" t="s">
        <v>223</v>
      </c>
      <c r="G77" t="s">
        <v>224</v>
      </c>
      <c r="H77" s="4">
        <v>176250</v>
      </c>
    </row>
    <row r="78" spans="1:8" hidden="1" x14ac:dyDescent="0.25">
      <c r="A78" t="s">
        <v>225</v>
      </c>
      <c r="B78" t="s">
        <v>158</v>
      </c>
      <c r="C78">
        <v>6500</v>
      </c>
      <c r="D78" t="s">
        <v>56</v>
      </c>
      <c r="E78" t="s">
        <v>48</v>
      </c>
      <c r="F78" t="s">
        <v>226</v>
      </c>
      <c r="G78" t="s">
        <v>227</v>
      </c>
      <c r="H78" s="4">
        <v>36784.269999999997</v>
      </c>
    </row>
    <row r="79" spans="1:8" hidden="1" x14ac:dyDescent="0.25">
      <c r="A79" t="s">
        <v>228</v>
      </c>
      <c r="B79" t="s">
        <v>147</v>
      </c>
      <c r="C79">
        <v>6510</v>
      </c>
      <c r="D79" t="s">
        <v>57</v>
      </c>
      <c r="E79" t="s">
        <v>48</v>
      </c>
      <c r="F79" t="s">
        <v>229</v>
      </c>
      <c r="G79" t="s">
        <v>230</v>
      </c>
      <c r="H79" s="4">
        <v>33120.68</v>
      </c>
    </row>
    <row r="80" spans="1:8" hidden="1" x14ac:dyDescent="0.25">
      <c r="A80" t="s">
        <v>231</v>
      </c>
      <c r="B80" t="s">
        <v>232</v>
      </c>
      <c r="C80">
        <v>6600</v>
      </c>
      <c r="D80" t="s">
        <v>58</v>
      </c>
      <c r="E80" t="s">
        <v>48</v>
      </c>
      <c r="F80" t="s">
        <v>233</v>
      </c>
      <c r="G80" t="s">
        <v>234</v>
      </c>
      <c r="H80" s="4">
        <v>312000</v>
      </c>
    </row>
    <row r="81" spans="1:8" hidden="1" x14ac:dyDescent="0.25">
      <c r="A81" t="s">
        <v>235</v>
      </c>
      <c r="B81" t="s">
        <v>76</v>
      </c>
      <c r="C81">
        <v>6700</v>
      </c>
      <c r="D81" t="s">
        <v>59</v>
      </c>
      <c r="E81" t="s">
        <v>48</v>
      </c>
      <c r="F81" t="s">
        <v>236</v>
      </c>
      <c r="G81" t="s">
        <v>237</v>
      </c>
      <c r="H81" s="4">
        <v>151500</v>
      </c>
    </row>
    <row r="82" spans="1:8" hidden="1" x14ac:dyDescent="0.25">
      <c r="A82" t="s">
        <v>238</v>
      </c>
      <c r="B82" t="s">
        <v>147</v>
      </c>
      <c r="C82">
        <v>6800</v>
      </c>
      <c r="D82" t="s">
        <v>43</v>
      </c>
      <c r="E82" t="s">
        <v>37</v>
      </c>
      <c r="F82" t="s">
        <v>1494</v>
      </c>
      <c r="G82" t="s">
        <v>239</v>
      </c>
      <c r="H82" s="4">
        <v>8323.2800000000007</v>
      </c>
    </row>
    <row r="83" spans="1:8" hidden="1" x14ac:dyDescent="0.25">
      <c r="A83" t="s">
        <v>240</v>
      </c>
      <c r="B83" t="s">
        <v>206</v>
      </c>
      <c r="C83">
        <v>6800</v>
      </c>
      <c r="D83" t="s">
        <v>43</v>
      </c>
      <c r="E83" t="s">
        <v>44</v>
      </c>
      <c r="F83" t="s">
        <v>1494</v>
      </c>
      <c r="G83" t="s">
        <v>239</v>
      </c>
      <c r="H83" s="4">
        <v>8797.3700000000008</v>
      </c>
    </row>
    <row r="84" spans="1:8" hidden="1" x14ac:dyDescent="0.25">
      <c r="A84" t="s">
        <v>241</v>
      </c>
      <c r="B84" t="s">
        <v>242</v>
      </c>
      <c r="C84">
        <v>6800</v>
      </c>
      <c r="D84" t="s">
        <v>43</v>
      </c>
      <c r="E84" t="s">
        <v>45</v>
      </c>
      <c r="F84" t="s">
        <v>1494</v>
      </c>
      <c r="G84" t="s">
        <v>239</v>
      </c>
      <c r="H84" s="4">
        <v>3863.81</v>
      </c>
    </row>
    <row r="85" spans="1:8" hidden="1" x14ac:dyDescent="0.25">
      <c r="A85" t="s">
        <v>243</v>
      </c>
      <c r="B85" t="s">
        <v>144</v>
      </c>
      <c r="C85">
        <v>6800</v>
      </c>
      <c r="D85" t="s">
        <v>43</v>
      </c>
      <c r="E85" t="s">
        <v>46</v>
      </c>
      <c r="F85" t="s">
        <v>244</v>
      </c>
      <c r="G85" t="s">
        <v>245</v>
      </c>
      <c r="H85" s="4">
        <v>68500</v>
      </c>
    </row>
    <row r="86" spans="1:8" hidden="1" x14ac:dyDescent="0.25">
      <c r="A86" t="s">
        <v>246</v>
      </c>
      <c r="B86" t="s">
        <v>183</v>
      </c>
      <c r="C86">
        <v>6800</v>
      </c>
      <c r="D86" t="s">
        <v>43</v>
      </c>
      <c r="E86" t="s">
        <v>46</v>
      </c>
      <c r="F86" t="s">
        <v>1494</v>
      </c>
      <c r="G86" t="s">
        <v>239</v>
      </c>
      <c r="H86" s="4">
        <v>11820.21</v>
      </c>
    </row>
    <row r="87" spans="1:8" hidden="1" x14ac:dyDescent="0.25">
      <c r="A87" t="s">
        <v>247</v>
      </c>
      <c r="B87" t="s">
        <v>152</v>
      </c>
      <c r="C87">
        <v>6800</v>
      </c>
      <c r="D87" t="s">
        <v>43</v>
      </c>
      <c r="E87" t="s">
        <v>48</v>
      </c>
      <c r="F87" t="s">
        <v>1494</v>
      </c>
      <c r="G87" t="s">
        <v>239</v>
      </c>
      <c r="H87" s="4">
        <v>8952.74</v>
      </c>
    </row>
    <row r="88" spans="1:8" hidden="1" x14ac:dyDescent="0.25">
      <c r="A88" t="s">
        <v>248</v>
      </c>
      <c r="B88" t="s">
        <v>158</v>
      </c>
      <c r="C88">
        <v>6800</v>
      </c>
      <c r="D88" t="s">
        <v>43</v>
      </c>
      <c r="E88" t="s">
        <v>50</v>
      </c>
      <c r="F88" t="s">
        <v>1494</v>
      </c>
      <c r="G88" t="s">
        <v>239</v>
      </c>
      <c r="H88" s="4">
        <v>8861.99</v>
      </c>
    </row>
    <row r="89" spans="1:8" hidden="1" x14ac:dyDescent="0.25">
      <c r="A89" t="s">
        <v>249</v>
      </c>
      <c r="B89" t="s">
        <v>150</v>
      </c>
      <c r="C89">
        <v>6800</v>
      </c>
      <c r="D89" t="s">
        <v>43</v>
      </c>
      <c r="E89" t="s">
        <v>51</v>
      </c>
      <c r="F89" t="s">
        <v>1494</v>
      </c>
      <c r="G89" t="s">
        <v>239</v>
      </c>
      <c r="H89" s="4">
        <v>4062.08</v>
      </c>
    </row>
  </sheetData>
  <autoFilter ref="A1:H89" xr:uid="{00000000-0009-0000-0000-000003000000}">
    <filterColumn colId="3">
      <filters>
        <filter val="Events &amp; Conferences"/>
      </filters>
    </filterColumn>
  </autoFilter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K491"/>
  <sheetViews>
    <sheetView workbookViewId="0">
      <pane ySplit="1" topLeftCell="A450" activePane="bottomLeft" state="frozen"/>
      <selection pane="bottomLeft"/>
    </sheetView>
  </sheetViews>
  <sheetFormatPr defaultRowHeight="15" x14ac:dyDescent="0.25"/>
  <cols>
    <col min="1" max="1" width="15" customWidth="1"/>
    <col min="2" max="2" width="20" customWidth="1"/>
    <col min="3" max="3" width="12" customWidth="1"/>
    <col min="4" max="4" width="22" customWidth="1"/>
    <col min="5" max="5" width="28" customWidth="1"/>
    <col min="6" max="6" width="12" customWidth="1"/>
    <col min="7" max="7" width="22" customWidth="1"/>
    <col min="8" max="8" width="12" customWidth="1"/>
    <col min="9" max="9" width="14" customWidth="1"/>
    <col min="10" max="10" width="13" customWidth="1"/>
    <col min="11" max="11" width="26" customWidth="1"/>
  </cols>
  <sheetData>
    <row r="1" spans="1:11" x14ac:dyDescent="0.25">
      <c r="A1" s="3" t="s">
        <v>250</v>
      </c>
      <c r="B1" s="3" t="s">
        <v>251</v>
      </c>
      <c r="C1" s="3" t="s">
        <v>252</v>
      </c>
      <c r="D1" s="3" t="s">
        <v>25</v>
      </c>
      <c r="E1" s="3" t="s">
        <v>253</v>
      </c>
      <c r="F1" s="3" t="s">
        <v>254</v>
      </c>
      <c r="G1" s="3" t="s">
        <v>255</v>
      </c>
      <c r="H1" s="3" t="s">
        <v>5</v>
      </c>
      <c r="I1" s="3" t="s">
        <v>256</v>
      </c>
      <c r="J1" s="3" t="s">
        <v>257</v>
      </c>
      <c r="K1" s="3" t="s">
        <v>258</v>
      </c>
    </row>
    <row r="2" spans="1:11" hidden="1" x14ac:dyDescent="0.25">
      <c r="A2" t="s">
        <v>259</v>
      </c>
      <c r="B2" t="s">
        <v>260</v>
      </c>
      <c r="D2" t="s">
        <v>37</v>
      </c>
      <c r="E2" t="s">
        <v>261</v>
      </c>
      <c r="F2" t="s">
        <v>262</v>
      </c>
      <c r="G2" s="5">
        <v>81000</v>
      </c>
      <c r="H2" t="s">
        <v>263</v>
      </c>
      <c r="I2" t="s">
        <v>264</v>
      </c>
      <c r="J2" t="s">
        <v>265</v>
      </c>
    </row>
    <row r="3" spans="1:11" hidden="1" x14ac:dyDescent="0.25">
      <c r="A3" t="s">
        <v>266</v>
      </c>
      <c r="B3" t="s">
        <v>267</v>
      </c>
      <c r="D3" t="s">
        <v>37</v>
      </c>
      <c r="E3" t="s">
        <v>268</v>
      </c>
      <c r="F3" t="s">
        <v>269</v>
      </c>
      <c r="G3" s="5">
        <v>108500</v>
      </c>
      <c r="H3" t="s">
        <v>270</v>
      </c>
      <c r="I3" t="s">
        <v>271</v>
      </c>
    </row>
    <row r="4" spans="1:11" hidden="1" x14ac:dyDescent="0.25">
      <c r="A4" t="s">
        <v>272</v>
      </c>
      <c r="B4" t="s">
        <v>273</v>
      </c>
      <c r="D4" t="s">
        <v>37</v>
      </c>
      <c r="E4" t="s">
        <v>268</v>
      </c>
      <c r="F4" t="s">
        <v>274</v>
      </c>
      <c r="G4" s="5">
        <v>132500</v>
      </c>
      <c r="H4" t="s">
        <v>270</v>
      </c>
      <c r="I4" t="s">
        <v>275</v>
      </c>
    </row>
    <row r="5" spans="1:11" hidden="1" x14ac:dyDescent="0.25">
      <c r="A5" t="s">
        <v>276</v>
      </c>
      <c r="B5" t="s">
        <v>277</v>
      </c>
      <c r="D5" t="s">
        <v>37</v>
      </c>
      <c r="E5" t="s">
        <v>278</v>
      </c>
      <c r="F5" t="s">
        <v>279</v>
      </c>
      <c r="G5" s="5">
        <v>70500</v>
      </c>
      <c r="H5" t="s">
        <v>270</v>
      </c>
      <c r="I5" t="s">
        <v>280</v>
      </c>
    </row>
    <row r="6" spans="1:11" hidden="1" x14ac:dyDescent="0.25">
      <c r="A6" t="s">
        <v>281</v>
      </c>
      <c r="B6" t="s">
        <v>282</v>
      </c>
      <c r="D6" t="s">
        <v>37</v>
      </c>
      <c r="E6" t="s">
        <v>283</v>
      </c>
      <c r="F6" t="s">
        <v>269</v>
      </c>
      <c r="G6" s="5">
        <v>97000</v>
      </c>
      <c r="H6" t="s">
        <v>270</v>
      </c>
      <c r="I6" t="s">
        <v>284</v>
      </c>
    </row>
    <row r="7" spans="1:11" hidden="1" x14ac:dyDescent="0.25">
      <c r="A7" t="s">
        <v>285</v>
      </c>
      <c r="B7" t="s">
        <v>286</v>
      </c>
      <c r="D7" t="s">
        <v>37</v>
      </c>
      <c r="E7" t="s">
        <v>261</v>
      </c>
      <c r="F7" t="s">
        <v>262</v>
      </c>
      <c r="G7" s="5">
        <v>84000</v>
      </c>
      <c r="H7" t="s">
        <v>270</v>
      </c>
      <c r="I7" t="s">
        <v>287</v>
      </c>
    </row>
    <row r="8" spans="1:11" hidden="1" x14ac:dyDescent="0.25">
      <c r="A8" t="s">
        <v>288</v>
      </c>
      <c r="B8" t="s">
        <v>289</v>
      </c>
      <c r="D8" t="s">
        <v>37</v>
      </c>
      <c r="E8" t="s">
        <v>283</v>
      </c>
      <c r="F8" t="s">
        <v>290</v>
      </c>
      <c r="G8" s="5">
        <v>123000</v>
      </c>
      <c r="H8" t="s">
        <v>270</v>
      </c>
      <c r="I8" t="s">
        <v>291</v>
      </c>
    </row>
    <row r="9" spans="1:11" hidden="1" x14ac:dyDescent="0.25">
      <c r="A9" t="s">
        <v>292</v>
      </c>
      <c r="B9" t="s">
        <v>293</v>
      </c>
      <c r="D9" t="s">
        <v>37</v>
      </c>
      <c r="E9" t="s">
        <v>278</v>
      </c>
      <c r="F9" t="s">
        <v>279</v>
      </c>
      <c r="G9" s="5">
        <v>67500</v>
      </c>
      <c r="H9" t="s">
        <v>270</v>
      </c>
      <c r="I9" t="s">
        <v>294</v>
      </c>
    </row>
    <row r="10" spans="1:11" hidden="1" x14ac:dyDescent="0.25">
      <c r="A10" t="s">
        <v>295</v>
      </c>
      <c r="B10" t="s">
        <v>296</v>
      </c>
      <c r="D10" t="s">
        <v>37</v>
      </c>
      <c r="E10" t="s">
        <v>278</v>
      </c>
      <c r="F10" t="s">
        <v>279</v>
      </c>
      <c r="G10" s="5">
        <v>68000</v>
      </c>
      <c r="H10" t="s">
        <v>270</v>
      </c>
      <c r="I10" t="s">
        <v>297</v>
      </c>
    </row>
    <row r="11" spans="1:11" hidden="1" x14ac:dyDescent="0.25">
      <c r="A11" t="s">
        <v>298</v>
      </c>
      <c r="B11" t="s">
        <v>299</v>
      </c>
      <c r="D11" t="s">
        <v>37</v>
      </c>
      <c r="E11" t="s">
        <v>283</v>
      </c>
      <c r="F11" t="s">
        <v>274</v>
      </c>
      <c r="G11" s="5">
        <v>124000</v>
      </c>
      <c r="H11" t="s">
        <v>270</v>
      </c>
      <c r="I11" t="s">
        <v>300</v>
      </c>
    </row>
    <row r="12" spans="1:11" hidden="1" x14ac:dyDescent="0.25">
      <c r="A12" t="s">
        <v>301</v>
      </c>
      <c r="B12" t="s">
        <v>302</v>
      </c>
      <c r="D12" t="s">
        <v>37</v>
      </c>
      <c r="E12" t="s">
        <v>278</v>
      </c>
      <c r="F12" t="s">
        <v>269</v>
      </c>
      <c r="G12" s="5">
        <v>113000</v>
      </c>
      <c r="H12" t="s">
        <v>270</v>
      </c>
      <c r="I12" t="s">
        <v>303</v>
      </c>
    </row>
    <row r="13" spans="1:11" hidden="1" x14ac:dyDescent="0.25">
      <c r="A13" t="s">
        <v>304</v>
      </c>
      <c r="B13" t="s">
        <v>305</v>
      </c>
      <c r="D13" t="s">
        <v>37</v>
      </c>
      <c r="E13" t="s">
        <v>278</v>
      </c>
      <c r="F13" t="s">
        <v>274</v>
      </c>
      <c r="G13" s="5">
        <v>141000</v>
      </c>
      <c r="H13" t="s">
        <v>270</v>
      </c>
      <c r="I13" t="s">
        <v>306</v>
      </c>
    </row>
    <row r="14" spans="1:11" hidden="1" x14ac:dyDescent="0.25">
      <c r="A14" t="s">
        <v>307</v>
      </c>
      <c r="B14" t="s">
        <v>308</v>
      </c>
      <c r="D14" t="s">
        <v>37</v>
      </c>
      <c r="E14" t="s">
        <v>268</v>
      </c>
      <c r="F14" t="s">
        <v>279</v>
      </c>
      <c r="G14" s="5">
        <v>76000</v>
      </c>
      <c r="H14" t="s">
        <v>270</v>
      </c>
      <c r="I14" t="s">
        <v>309</v>
      </c>
    </row>
    <row r="15" spans="1:11" hidden="1" x14ac:dyDescent="0.25">
      <c r="A15" t="s">
        <v>310</v>
      </c>
      <c r="B15" t="s">
        <v>311</v>
      </c>
      <c r="D15" t="s">
        <v>37</v>
      </c>
      <c r="E15" t="s">
        <v>261</v>
      </c>
      <c r="F15" t="s">
        <v>290</v>
      </c>
      <c r="G15" s="5">
        <v>136000</v>
      </c>
      <c r="H15" t="s">
        <v>270</v>
      </c>
      <c r="I15" t="s">
        <v>312</v>
      </c>
    </row>
    <row r="16" spans="1:11" hidden="1" x14ac:dyDescent="0.25">
      <c r="A16" t="s">
        <v>313</v>
      </c>
      <c r="B16" t="s">
        <v>314</v>
      </c>
      <c r="D16" t="s">
        <v>37</v>
      </c>
      <c r="E16" t="s">
        <v>283</v>
      </c>
      <c r="F16" t="s">
        <v>262</v>
      </c>
      <c r="G16" s="5">
        <v>88000</v>
      </c>
      <c r="H16" t="s">
        <v>270</v>
      </c>
      <c r="I16" t="s">
        <v>315</v>
      </c>
    </row>
    <row r="17" spans="1:9" hidden="1" x14ac:dyDescent="0.25">
      <c r="A17" t="s">
        <v>316</v>
      </c>
      <c r="B17" t="s">
        <v>317</v>
      </c>
      <c r="D17" t="s">
        <v>37</v>
      </c>
      <c r="E17" t="s">
        <v>278</v>
      </c>
      <c r="F17" t="s">
        <v>290</v>
      </c>
      <c r="G17" s="5">
        <v>120000</v>
      </c>
      <c r="H17" t="s">
        <v>270</v>
      </c>
      <c r="I17" t="s">
        <v>318</v>
      </c>
    </row>
    <row r="18" spans="1:9" hidden="1" x14ac:dyDescent="0.25">
      <c r="A18" t="s">
        <v>319</v>
      </c>
      <c r="B18" t="s">
        <v>320</v>
      </c>
      <c r="D18" t="s">
        <v>37</v>
      </c>
      <c r="E18" t="s">
        <v>268</v>
      </c>
      <c r="F18" t="s">
        <v>262</v>
      </c>
      <c r="G18" s="5">
        <v>87000</v>
      </c>
      <c r="H18" t="s">
        <v>270</v>
      </c>
      <c r="I18" t="s">
        <v>321</v>
      </c>
    </row>
    <row r="19" spans="1:9" hidden="1" x14ac:dyDescent="0.25">
      <c r="A19" t="s">
        <v>322</v>
      </c>
      <c r="B19" t="s">
        <v>323</v>
      </c>
      <c r="D19" t="s">
        <v>37</v>
      </c>
      <c r="E19" t="s">
        <v>278</v>
      </c>
      <c r="F19" t="s">
        <v>279</v>
      </c>
      <c r="G19" s="5">
        <v>73500</v>
      </c>
      <c r="H19" t="s">
        <v>270</v>
      </c>
      <c r="I19" t="s">
        <v>324</v>
      </c>
    </row>
    <row r="20" spans="1:9" hidden="1" x14ac:dyDescent="0.25">
      <c r="A20" t="s">
        <v>325</v>
      </c>
      <c r="B20" t="s">
        <v>326</v>
      </c>
      <c r="D20" t="s">
        <v>37</v>
      </c>
      <c r="E20" t="s">
        <v>268</v>
      </c>
      <c r="F20" t="s">
        <v>262</v>
      </c>
      <c r="G20" s="5">
        <v>94000</v>
      </c>
      <c r="H20" t="s">
        <v>270</v>
      </c>
      <c r="I20" t="s">
        <v>327</v>
      </c>
    </row>
    <row r="21" spans="1:9" hidden="1" x14ac:dyDescent="0.25">
      <c r="A21" t="s">
        <v>328</v>
      </c>
      <c r="B21" t="s">
        <v>329</v>
      </c>
      <c r="D21" t="s">
        <v>37</v>
      </c>
      <c r="E21" t="s">
        <v>268</v>
      </c>
      <c r="F21" t="s">
        <v>262</v>
      </c>
      <c r="G21" s="5">
        <v>95000</v>
      </c>
      <c r="H21" t="s">
        <v>270</v>
      </c>
      <c r="I21" t="s">
        <v>309</v>
      </c>
    </row>
    <row r="22" spans="1:9" hidden="1" x14ac:dyDescent="0.25">
      <c r="A22" t="s">
        <v>330</v>
      </c>
      <c r="B22" t="s">
        <v>331</v>
      </c>
      <c r="D22" t="s">
        <v>37</v>
      </c>
      <c r="E22" t="s">
        <v>332</v>
      </c>
      <c r="F22" t="s">
        <v>274</v>
      </c>
      <c r="G22" s="5">
        <v>126500</v>
      </c>
      <c r="H22" t="s">
        <v>270</v>
      </c>
      <c r="I22" t="s">
        <v>333</v>
      </c>
    </row>
    <row r="23" spans="1:9" hidden="1" x14ac:dyDescent="0.25">
      <c r="A23" t="s">
        <v>334</v>
      </c>
      <c r="B23" t="s">
        <v>335</v>
      </c>
      <c r="D23" t="s">
        <v>37</v>
      </c>
      <c r="E23" t="s">
        <v>261</v>
      </c>
      <c r="F23" t="s">
        <v>279</v>
      </c>
      <c r="G23" s="5">
        <v>76000</v>
      </c>
      <c r="H23" t="s">
        <v>270</v>
      </c>
      <c r="I23" t="s">
        <v>336</v>
      </c>
    </row>
    <row r="24" spans="1:9" hidden="1" x14ac:dyDescent="0.25">
      <c r="A24" t="s">
        <v>337</v>
      </c>
      <c r="B24" t="s">
        <v>338</v>
      </c>
      <c r="D24" t="s">
        <v>37</v>
      </c>
      <c r="E24" t="s">
        <v>278</v>
      </c>
      <c r="F24" t="s">
        <v>262</v>
      </c>
      <c r="G24" s="5">
        <v>96000</v>
      </c>
      <c r="H24" t="s">
        <v>270</v>
      </c>
      <c r="I24" t="s">
        <v>339</v>
      </c>
    </row>
    <row r="25" spans="1:9" hidden="1" x14ac:dyDescent="0.25">
      <c r="A25" t="s">
        <v>340</v>
      </c>
      <c r="B25" t="s">
        <v>341</v>
      </c>
      <c r="D25" t="s">
        <v>37</v>
      </c>
      <c r="E25" t="s">
        <v>332</v>
      </c>
      <c r="F25" t="s">
        <v>279</v>
      </c>
      <c r="G25" s="5">
        <v>79500</v>
      </c>
      <c r="H25" t="s">
        <v>270</v>
      </c>
      <c r="I25" t="s">
        <v>309</v>
      </c>
    </row>
    <row r="26" spans="1:9" hidden="1" x14ac:dyDescent="0.25">
      <c r="A26" t="s">
        <v>342</v>
      </c>
      <c r="B26" t="s">
        <v>343</v>
      </c>
      <c r="D26" t="s">
        <v>37</v>
      </c>
      <c r="E26" t="s">
        <v>283</v>
      </c>
      <c r="F26" t="s">
        <v>269</v>
      </c>
      <c r="G26" s="5">
        <v>103500</v>
      </c>
      <c r="H26" t="s">
        <v>270</v>
      </c>
      <c r="I26" t="s">
        <v>344</v>
      </c>
    </row>
    <row r="27" spans="1:9" hidden="1" x14ac:dyDescent="0.25">
      <c r="A27" t="s">
        <v>345</v>
      </c>
      <c r="B27" t="s">
        <v>346</v>
      </c>
      <c r="D27" t="s">
        <v>37</v>
      </c>
      <c r="E27" t="s">
        <v>332</v>
      </c>
      <c r="F27" t="s">
        <v>279</v>
      </c>
      <c r="G27" s="5">
        <v>77500</v>
      </c>
      <c r="H27" t="s">
        <v>270</v>
      </c>
      <c r="I27" t="s">
        <v>347</v>
      </c>
    </row>
    <row r="28" spans="1:9" hidden="1" x14ac:dyDescent="0.25">
      <c r="A28" t="s">
        <v>348</v>
      </c>
      <c r="B28" t="s">
        <v>349</v>
      </c>
      <c r="D28" t="s">
        <v>37</v>
      </c>
      <c r="E28" t="s">
        <v>261</v>
      </c>
      <c r="F28" t="s">
        <v>279</v>
      </c>
      <c r="G28" s="5">
        <v>80500</v>
      </c>
      <c r="H28" t="s">
        <v>270</v>
      </c>
      <c r="I28" t="s">
        <v>350</v>
      </c>
    </row>
    <row r="29" spans="1:9" hidden="1" x14ac:dyDescent="0.25">
      <c r="A29" t="s">
        <v>351</v>
      </c>
      <c r="B29" t="s">
        <v>352</v>
      </c>
      <c r="D29" t="s">
        <v>37</v>
      </c>
      <c r="E29" t="s">
        <v>283</v>
      </c>
      <c r="F29" t="s">
        <v>274</v>
      </c>
      <c r="G29" s="5">
        <v>143500</v>
      </c>
      <c r="H29" t="s">
        <v>270</v>
      </c>
      <c r="I29" t="s">
        <v>353</v>
      </c>
    </row>
    <row r="30" spans="1:9" hidden="1" x14ac:dyDescent="0.25">
      <c r="A30" t="s">
        <v>354</v>
      </c>
      <c r="B30" t="s">
        <v>355</v>
      </c>
      <c r="D30" t="s">
        <v>37</v>
      </c>
      <c r="E30" t="s">
        <v>261</v>
      </c>
      <c r="F30" t="s">
        <v>279</v>
      </c>
      <c r="G30" s="5">
        <v>80500</v>
      </c>
      <c r="H30" t="s">
        <v>270</v>
      </c>
      <c r="I30" t="s">
        <v>356</v>
      </c>
    </row>
    <row r="31" spans="1:9" hidden="1" x14ac:dyDescent="0.25">
      <c r="A31" t="s">
        <v>357</v>
      </c>
      <c r="B31" t="s">
        <v>358</v>
      </c>
      <c r="D31" t="s">
        <v>37</v>
      </c>
      <c r="E31" t="s">
        <v>283</v>
      </c>
      <c r="F31" t="s">
        <v>262</v>
      </c>
      <c r="G31" s="5">
        <v>80500</v>
      </c>
      <c r="H31" t="s">
        <v>270</v>
      </c>
      <c r="I31" t="s">
        <v>359</v>
      </c>
    </row>
    <row r="32" spans="1:9" hidden="1" x14ac:dyDescent="0.25">
      <c r="A32" t="s">
        <v>360</v>
      </c>
      <c r="B32" t="s">
        <v>361</v>
      </c>
      <c r="D32" t="s">
        <v>37</v>
      </c>
      <c r="E32" t="s">
        <v>268</v>
      </c>
      <c r="F32" t="s">
        <v>290</v>
      </c>
      <c r="G32" s="5">
        <v>131500</v>
      </c>
      <c r="H32" t="s">
        <v>270</v>
      </c>
      <c r="I32" t="s">
        <v>362</v>
      </c>
    </row>
    <row r="33" spans="1:9" hidden="1" x14ac:dyDescent="0.25">
      <c r="A33" t="s">
        <v>363</v>
      </c>
      <c r="B33" t="s">
        <v>364</v>
      </c>
      <c r="D33" t="s">
        <v>37</v>
      </c>
      <c r="E33" t="s">
        <v>278</v>
      </c>
      <c r="F33" t="s">
        <v>290</v>
      </c>
      <c r="G33" s="5">
        <v>119000</v>
      </c>
      <c r="H33" t="s">
        <v>270</v>
      </c>
      <c r="I33" t="s">
        <v>365</v>
      </c>
    </row>
    <row r="34" spans="1:9" hidden="1" x14ac:dyDescent="0.25">
      <c r="A34" t="s">
        <v>366</v>
      </c>
      <c r="B34" t="s">
        <v>367</v>
      </c>
      <c r="D34" t="s">
        <v>37</v>
      </c>
      <c r="E34" t="s">
        <v>332</v>
      </c>
      <c r="F34" t="s">
        <v>269</v>
      </c>
      <c r="G34" s="5">
        <v>113000</v>
      </c>
      <c r="H34" t="s">
        <v>270</v>
      </c>
      <c r="I34" t="s">
        <v>368</v>
      </c>
    </row>
    <row r="35" spans="1:9" hidden="1" x14ac:dyDescent="0.25">
      <c r="A35" t="s">
        <v>369</v>
      </c>
      <c r="B35" t="s">
        <v>370</v>
      </c>
      <c r="D35" t="s">
        <v>37</v>
      </c>
      <c r="E35" t="s">
        <v>268</v>
      </c>
      <c r="F35" t="s">
        <v>274</v>
      </c>
      <c r="G35" s="5">
        <v>137000</v>
      </c>
      <c r="H35" t="s">
        <v>270</v>
      </c>
      <c r="I35" t="s">
        <v>353</v>
      </c>
    </row>
    <row r="36" spans="1:9" hidden="1" x14ac:dyDescent="0.25">
      <c r="A36" t="s">
        <v>371</v>
      </c>
      <c r="B36" t="s">
        <v>372</v>
      </c>
      <c r="D36" t="s">
        <v>37</v>
      </c>
      <c r="E36" t="s">
        <v>268</v>
      </c>
      <c r="F36" t="s">
        <v>274</v>
      </c>
      <c r="G36" s="5">
        <v>146500</v>
      </c>
      <c r="H36" t="s">
        <v>270</v>
      </c>
      <c r="I36" t="s">
        <v>373</v>
      </c>
    </row>
    <row r="37" spans="1:9" hidden="1" x14ac:dyDescent="0.25">
      <c r="A37" t="s">
        <v>374</v>
      </c>
      <c r="B37" t="s">
        <v>375</v>
      </c>
      <c r="D37" t="s">
        <v>37</v>
      </c>
      <c r="E37" t="s">
        <v>332</v>
      </c>
      <c r="F37" t="s">
        <v>262</v>
      </c>
      <c r="G37" s="5">
        <v>94000</v>
      </c>
      <c r="H37" t="s">
        <v>270</v>
      </c>
      <c r="I37" t="s">
        <v>376</v>
      </c>
    </row>
    <row r="38" spans="1:9" hidden="1" x14ac:dyDescent="0.25">
      <c r="A38" t="s">
        <v>377</v>
      </c>
      <c r="B38" t="s">
        <v>378</v>
      </c>
      <c r="D38" t="s">
        <v>37</v>
      </c>
      <c r="E38" t="s">
        <v>268</v>
      </c>
      <c r="F38" t="s">
        <v>279</v>
      </c>
      <c r="G38" s="5">
        <v>69500</v>
      </c>
      <c r="H38" t="s">
        <v>270</v>
      </c>
      <c r="I38" t="s">
        <v>344</v>
      </c>
    </row>
    <row r="39" spans="1:9" hidden="1" x14ac:dyDescent="0.25">
      <c r="A39" t="s">
        <v>379</v>
      </c>
      <c r="B39" t="s">
        <v>380</v>
      </c>
      <c r="D39" t="s">
        <v>37</v>
      </c>
      <c r="E39" t="s">
        <v>332</v>
      </c>
      <c r="F39" t="s">
        <v>290</v>
      </c>
      <c r="G39" s="5">
        <v>114500</v>
      </c>
      <c r="H39" t="s">
        <v>270</v>
      </c>
      <c r="I39" t="s">
        <v>381</v>
      </c>
    </row>
    <row r="40" spans="1:9" hidden="1" x14ac:dyDescent="0.25">
      <c r="A40" t="s">
        <v>382</v>
      </c>
      <c r="B40" t="s">
        <v>383</v>
      </c>
      <c r="D40" t="s">
        <v>37</v>
      </c>
      <c r="E40" t="s">
        <v>261</v>
      </c>
      <c r="F40" t="s">
        <v>262</v>
      </c>
      <c r="G40" s="5">
        <v>85000</v>
      </c>
      <c r="H40" t="s">
        <v>270</v>
      </c>
      <c r="I40" t="s">
        <v>384</v>
      </c>
    </row>
    <row r="41" spans="1:9" hidden="1" x14ac:dyDescent="0.25">
      <c r="A41" t="s">
        <v>385</v>
      </c>
      <c r="B41" t="s">
        <v>341</v>
      </c>
      <c r="D41" t="s">
        <v>37</v>
      </c>
      <c r="E41" t="s">
        <v>261</v>
      </c>
      <c r="F41" t="s">
        <v>262</v>
      </c>
      <c r="G41" s="5">
        <v>79500</v>
      </c>
      <c r="H41" t="s">
        <v>270</v>
      </c>
      <c r="I41" t="s">
        <v>386</v>
      </c>
    </row>
    <row r="42" spans="1:9" hidden="1" x14ac:dyDescent="0.25">
      <c r="A42" t="s">
        <v>387</v>
      </c>
      <c r="B42" t="s">
        <v>388</v>
      </c>
      <c r="D42" t="s">
        <v>37</v>
      </c>
      <c r="E42" t="s">
        <v>278</v>
      </c>
      <c r="F42" t="s">
        <v>269</v>
      </c>
      <c r="G42" s="5">
        <v>107000</v>
      </c>
      <c r="H42" t="s">
        <v>270</v>
      </c>
      <c r="I42" t="s">
        <v>389</v>
      </c>
    </row>
    <row r="43" spans="1:9" hidden="1" x14ac:dyDescent="0.25">
      <c r="A43" t="s">
        <v>390</v>
      </c>
      <c r="B43" t="s">
        <v>391</v>
      </c>
      <c r="D43" t="s">
        <v>37</v>
      </c>
      <c r="E43" t="s">
        <v>261</v>
      </c>
      <c r="F43" t="s">
        <v>269</v>
      </c>
      <c r="G43" s="5">
        <v>109500</v>
      </c>
      <c r="H43" t="s">
        <v>270</v>
      </c>
      <c r="I43" t="s">
        <v>392</v>
      </c>
    </row>
    <row r="44" spans="1:9" hidden="1" x14ac:dyDescent="0.25">
      <c r="A44" t="s">
        <v>393</v>
      </c>
      <c r="B44" t="s">
        <v>394</v>
      </c>
      <c r="D44" t="s">
        <v>37</v>
      </c>
      <c r="E44" t="s">
        <v>261</v>
      </c>
      <c r="F44" t="s">
        <v>262</v>
      </c>
      <c r="G44" s="5">
        <v>87500</v>
      </c>
      <c r="H44" t="s">
        <v>270</v>
      </c>
      <c r="I44" t="s">
        <v>395</v>
      </c>
    </row>
    <row r="45" spans="1:9" hidden="1" x14ac:dyDescent="0.25">
      <c r="A45" t="s">
        <v>396</v>
      </c>
      <c r="B45" t="s">
        <v>397</v>
      </c>
      <c r="D45" t="s">
        <v>37</v>
      </c>
      <c r="E45" t="s">
        <v>278</v>
      </c>
      <c r="F45" t="s">
        <v>290</v>
      </c>
      <c r="G45" s="5">
        <v>117500</v>
      </c>
      <c r="H45" t="s">
        <v>270</v>
      </c>
      <c r="I45" t="s">
        <v>333</v>
      </c>
    </row>
    <row r="46" spans="1:9" hidden="1" x14ac:dyDescent="0.25">
      <c r="A46" t="s">
        <v>398</v>
      </c>
      <c r="B46" t="s">
        <v>399</v>
      </c>
      <c r="D46" t="s">
        <v>37</v>
      </c>
      <c r="E46" t="s">
        <v>283</v>
      </c>
      <c r="F46" t="s">
        <v>262</v>
      </c>
      <c r="G46" s="5">
        <v>86500</v>
      </c>
      <c r="H46" t="s">
        <v>270</v>
      </c>
      <c r="I46" t="s">
        <v>400</v>
      </c>
    </row>
    <row r="47" spans="1:9" hidden="1" x14ac:dyDescent="0.25">
      <c r="A47" t="s">
        <v>401</v>
      </c>
      <c r="B47" t="s">
        <v>402</v>
      </c>
      <c r="D47" t="s">
        <v>37</v>
      </c>
      <c r="E47" t="s">
        <v>283</v>
      </c>
      <c r="F47" t="s">
        <v>279</v>
      </c>
      <c r="G47" s="5">
        <v>67500</v>
      </c>
      <c r="H47" t="s">
        <v>270</v>
      </c>
      <c r="I47" t="s">
        <v>403</v>
      </c>
    </row>
    <row r="48" spans="1:9" hidden="1" x14ac:dyDescent="0.25">
      <c r="A48" t="s">
        <v>404</v>
      </c>
      <c r="B48" t="s">
        <v>405</v>
      </c>
      <c r="D48" t="s">
        <v>37</v>
      </c>
      <c r="E48" t="s">
        <v>332</v>
      </c>
      <c r="F48" t="s">
        <v>290</v>
      </c>
      <c r="G48" s="5">
        <v>131500</v>
      </c>
      <c r="H48" t="s">
        <v>270</v>
      </c>
      <c r="I48" t="s">
        <v>406</v>
      </c>
    </row>
    <row r="49" spans="1:10" hidden="1" x14ac:dyDescent="0.25">
      <c r="A49" t="s">
        <v>407</v>
      </c>
      <c r="B49" t="s">
        <v>408</v>
      </c>
      <c r="D49" t="s">
        <v>37</v>
      </c>
      <c r="E49" t="s">
        <v>283</v>
      </c>
      <c r="F49" t="s">
        <v>269</v>
      </c>
      <c r="G49" s="5">
        <v>108500</v>
      </c>
      <c r="H49" t="s">
        <v>270</v>
      </c>
      <c r="I49" t="s">
        <v>409</v>
      </c>
    </row>
    <row r="50" spans="1:10" hidden="1" x14ac:dyDescent="0.25">
      <c r="A50" t="s">
        <v>410</v>
      </c>
      <c r="B50" t="s">
        <v>411</v>
      </c>
      <c r="D50" t="s">
        <v>37</v>
      </c>
      <c r="E50" t="s">
        <v>283</v>
      </c>
      <c r="F50" t="s">
        <v>279</v>
      </c>
      <c r="G50" s="5">
        <v>70500</v>
      </c>
      <c r="H50" t="s">
        <v>270</v>
      </c>
      <c r="I50" t="s">
        <v>412</v>
      </c>
    </row>
    <row r="51" spans="1:10" hidden="1" x14ac:dyDescent="0.25">
      <c r="A51" t="s">
        <v>413</v>
      </c>
      <c r="B51" t="s">
        <v>414</v>
      </c>
      <c r="D51" t="s">
        <v>37</v>
      </c>
      <c r="E51" t="s">
        <v>283</v>
      </c>
      <c r="F51" t="s">
        <v>269</v>
      </c>
      <c r="G51" s="5">
        <v>108500</v>
      </c>
      <c r="H51" t="s">
        <v>270</v>
      </c>
      <c r="I51" t="s">
        <v>415</v>
      </c>
    </row>
    <row r="52" spans="1:10" hidden="1" x14ac:dyDescent="0.25">
      <c r="A52" t="s">
        <v>416</v>
      </c>
      <c r="B52" t="s">
        <v>417</v>
      </c>
      <c r="D52" t="s">
        <v>37</v>
      </c>
      <c r="E52" t="s">
        <v>283</v>
      </c>
      <c r="F52" t="s">
        <v>418</v>
      </c>
      <c r="G52" s="5">
        <v>182000</v>
      </c>
      <c r="H52" t="s">
        <v>270</v>
      </c>
      <c r="I52" t="s">
        <v>419</v>
      </c>
    </row>
    <row r="53" spans="1:10" hidden="1" x14ac:dyDescent="0.25">
      <c r="A53" t="s">
        <v>420</v>
      </c>
      <c r="B53" t="s">
        <v>421</v>
      </c>
      <c r="D53" t="s">
        <v>37</v>
      </c>
      <c r="E53" t="s">
        <v>332</v>
      </c>
      <c r="F53" t="s">
        <v>274</v>
      </c>
      <c r="G53" s="5">
        <v>134000</v>
      </c>
      <c r="H53" t="s">
        <v>270</v>
      </c>
      <c r="I53" t="s">
        <v>359</v>
      </c>
    </row>
    <row r="54" spans="1:10" hidden="1" x14ac:dyDescent="0.25">
      <c r="A54" t="s">
        <v>422</v>
      </c>
      <c r="B54" t="s">
        <v>423</v>
      </c>
      <c r="D54" t="s">
        <v>37</v>
      </c>
      <c r="E54" t="s">
        <v>268</v>
      </c>
      <c r="F54" t="s">
        <v>279</v>
      </c>
      <c r="G54" s="5">
        <v>72500</v>
      </c>
      <c r="H54" t="s">
        <v>270</v>
      </c>
      <c r="I54" t="s">
        <v>424</v>
      </c>
    </row>
    <row r="55" spans="1:10" hidden="1" x14ac:dyDescent="0.25">
      <c r="A55" t="s">
        <v>425</v>
      </c>
      <c r="B55" t="s">
        <v>426</v>
      </c>
      <c r="D55" t="s">
        <v>37</v>
      </c>
      <c r="E55" t="s">
        <v>283</v>
      </c>
      <c r="F55" t="s">
        <v>279</v>
      </c>
      <c r="G55" s="5">
        <v>68500</v>
      </c>
      <c r="H55" t="s">
        <v>270</v>
      </c>
      <c r="I55" t="s">
        <v>427</v>
      </c>
    </row>
    <row r="56" spans="1:10" hidden="1" x14ac:dyDescent="0.25">
      <c r="A56" t="s">
        <v>428</v>
      </c>
      <c r="B56" t="s">
        <v>429</v>
      </c>
      <c r="D56" t="s">
        <v>37</v>
      </c>
      <c r="E56" t="s">
        <v>332</v>
      </c>
      <c r="F56" t="s">
        <v>262</v>
      </c>
      <c r="G56" s="5">
        <v>93500</v>
      </c>
      <c r="H56" t="s">
        <v>263</v>
      </c>
      <c r="I56" t="s">
        <v>430</v>
      </c>
      <c r="J56" t="s">
        <v>431</v>
      </c>
    </row>
    <row r="57" spans="1:10" hidden="1" x14ac:dyDescent="0.25">
      <c r="A57" t="s">
        <v>432</v>
      </c>
      <c r="B57" t="s">
        <v>433</v>
      </c>
      <c r="D57" t="s">
        <v>37</v>
      </c>
      <c r="E57" t="s">
        <v>332</v>
      </c>
      <c r="F57" t="s">
        <v>279</v>
      </c>
      <c r="G57" s="5">
        <v>78500</v>
      </c>
      <c r="H57" t="s">
        <v>270</v>
      </c>
      <c r="I57" t="s">
        <v>297</v>
      </c>
    </row>
    <row r="58" spans="1:10" hidden="1" x14ac:dyDescent="0.25">
      <c r="A58" t="s">
        <v>434</v>
      </c>
      <c r="B58" t="s">
        <v>435</v>
      </c>
      <c r="D58" t="s">
        <v>37</v>
      </c>
      <c r="E58" t="s">
        <v>278</v>
      </c>
      <c r="F58" t="s">
        <v>279</v>
      </c>
      <c r="G58" s="5">
        <v>79000</v>
      </c>
      <c r="H58" t="s">
        <v>270</v>
      </c>
      <c r="I58" t="s">
        <v>318</v>
      </c>
    </row>
    <row r="59" spans="1:10" hidden="1" x14ac:dyDescent="0.25">
      <c r="A59" t="s">
        <v>436</v>
      </c>
      <c r="B59" t="s">
        <v>437</v>
      </c>
      <c r="D59" t="s">
        <v>37</v>
      </c>
      <c r="E59" t="s">
        <v>283</v>
      </c>
      <c r="F59" t="s">
        <v>262</v>
      </c>
      <c r="G59" s="5">
        <v>84000</v>
      </c>
      <c r="H59" t="s">
        <v>270</v>
      </c>
      <c r="I59" t="s">
        <v>438</v>
      </c>
    </row>
    <row r="60" spans="1:10" hidden="1" x14ac:dyDescent="0.25">
      <c r="A60" t="s">
        <v>439</v>
      </c>
      <c r="B60" t="s">
        <v>440</v>
      </c>
      <c r="D60" t="s">
        <v>37</v>
      </c>
      <c r="E60" t="s">
        <v>268</v>
      </c>
      <c r="F60" t="s">
        <v>262</v>
      </c>
      <c r="G60" s="5">
        <v>96000</v>
      </c>
      <c r="H60" t="s">
        <v>270</v>
      </c>
      <c r="I60" t="s">
        <v>339</v>
      </c>
    </row>
    <row r="61" spans="1:10" hidden="1" x14ac:dyDescent="0.25">
      <c r="A61" t="s">
        <v>441</v>
      </c>
      <c r="B61" t="s">
        <v>442</v>
      </c>
      <c r="D61" t="s">
        <v>37</v>
      </c>
      <c r="E61" t="s">
        <v>332</v>
      </c>
      <c r="F61" t="s">
        <v>262</v>
      </c>
      <c r="G61" s="5">
        <v>93000</v>
      </c>
      <c r="H61" t="s">
        <v>270</v>
      </c>
      <c r="I61" t="s">
        <v>350</v>
      </c>
    </row>
    <row r="62" spans="1:10" hidden="1" x14ac:dyDescent="0.25">
      <c r="A62" t="s">
        <v>443</v>
      </c>
      <c r="B62" t="s">
        <v>444</v>
      </c>
      <c r="D62" t="s">
        <v>37</v>
      </c>
      <c r="E62" t="s">
        <v>278</v>
      </c>
      <c r="F62" t="s">
        <v>279</v>
      </c>
      <c r="G62" s="5">
        <v>77000</v>
      </c>
      <c r="H62" t="s">
        <v>270</v>
      </c>
      <c r="I62" t="s">
        <v>445</v>
      </c>
    </row>
    <row r="63" spans="1:10" hidden="1" x14ac:dyDescent="0.25">
      <c r="A63" t="s">
        <v>446</v>
      </c>
      <c r="B63" t="s">
        <v>447</v>
      </c>
      <c r="D63" t="s">
        <v>37</v>
      </c>
      <c r="E63" t="s">
        <v>261</v>
      </c>
      <c r="F63" t="s">
        <v>262</v>
      </c>
      <c r="G63" s="5">
        <v>81500</v>
      </c>
      <c r="H63" t="s">
        <v>270</v>
      </c>
      <c r="I63" t="s">
        <v>448</v>
      </c>
    </row>
    <row r="64" spans="1:10" hidden="1" x14ac:dyDescent="0.25">
      <c r="A64" t="s">
        <v>449</v>
      </c>
      <c r="B64" t="s">
        <v>450</v>
      </c>
      <c r="D64" t="s">
        <v>37</v>
      </c>
      <c r="E64" t="s">
        <v>332</v>
      </c>
      <c r="F64" t="s">
        <v>290</v>
      </c>
      <c r="G64" s="5">
        <v>117500</v>
      </c>
      <c r="H64" t="s">
        <v>270</v>
      </c>
      <c r="I64" t="s">
        <v>412</v>
      </c>
    </row>
    <row r="65" spans="1:9" hidden="1" x14ac:dyDescent="0.25">
      <c r="A65" t="s">
        <v>451</v>
      </c>
      <c r="B65" t="s">
        <v>452</v>
      </c>
      <c r="D65" t="s">
        <v>37</v>
      </c>
      <c r="E65" t="s">
        <v>268</v>
      </c>
      <c r="F65" t="s">
        <v>279</v>
      </c>
      <c r="G65" s="5">
        <v>71500</v>
      </c>
      <c r="H65" t="s">
        <v>270</v>
      </c>
      <c r="I65" t="s">
        <v>453</v>
      </c>
    </row>
    <row r="66" spans="1:9" hidden="1" x14ac:dyDescent="0.25">
      <c r="A66" t="s">
        <v>454</v>
      </c>
      <c r="B66" t="s">
        <v>329</v>
      </c>
      <c r="D66" t="s">
        <v>37</v>
      </c>
      <c r="E66" t="s">
        <v>332</v>
      </c>
      <c r="F66" t="s">
        <v>274</v>
      </c>
      <c r="G66" s="5">
        <v>124500</v>
      </c>
      <c r="H66" t="s">
        <v>270</v>
      </c>
      <c r="I66" t="s">
        <v>455</v>
      </c>
    </row>
    <row r="67" spans="1:9" hidden="1" x14ac:dyDescent="0.25">
      <c r="A67" t="s">
        <v>456</v>
      </c>
      <c r="B67" t="s">
        <v>457</v>
      </c>
      <c r="D67" t="s">
        <v>37</v>
      </c>
      <c r="E67" t="s">
        <v>268</v>
      </c>
      <c r="F67" t="s">
        <v>262</v>
      </c>
      <c r="G67" s="5">
        <v>87500</v>
      </c>
      <c r="H67" t="s">
        <v>270</v>
      </c>
      <c r="I67" t="s">
        <v>327</v>
      </c>
    </row>
    <row r="68" spans="1:9" hidden="1" x14ac:dyDescent="0.25">
      <c r="A68" t="s">
        <v>458</v>
      </c>
      <c r="B68" t="s">
        <v>459</v>
      </c>
      <c r="D68" t="s">
        <v>37</v>
      </c>
      <c r="E68" t="s">
        <v>278</v>
      </c>
      <c r="F68" t="s">
        <v>290</v>
      </c>
      <c r="G68" s="5">
        <v>113000</v>
      </c>
      <c r="H68" t="s">
        <v>270</v>
      </c>
      <c r="I68" t="s">
        <v>294</v>
      </c>
    </row>
    <row r="69" spans="1:9" hidden="1" x14ac:dyDescent="0.25">
      <c r="A69" t="s">
        <v>460</v>
      </c>
      <c r="B69" t="s">
        <v>461</v>
      </c>
      <c r="D69" t="s">
        <v>37</v>
      </c>
      <c r="E69" t="s">
        <v>278</v>
      </c>
      <c r="F69" t="s">
        <v>269</v>
      </c>
      <c r="G69" s="5">
        <v>112000</v>
      </c>
      <c r="H69" t="s">
        <v>270</v>
      </c>
      <c r="I69" t="s">
        <v>287</v>
      </c>
    </row>
    <row r="70" spans="1:9" hidden="1" x14ac:dyDescent="0.25">
      <c r="A70" t="s">
        <v>462</v>
      </c>
      <c r="B70" t="s">
        <v>463</v>
      </c>
      <c r="D70" t="s">
        <v>37</v>
      </c>
      <c r="E70" t="s">
        <v>278</v>
      </c>
      <c r="F70" t="s">
        <v>279</v>
      </c>
      <c r="G70" s="5">
        <v>73000</v>
      </c>
      <c r="H70" t="s">
        <v>270</v>
      </c>
      <c r="I70" t="s">
        <v>464</v>
      </c>
    </row>
    <row r="71" spans="1:9" hidden="1" x14ac:dyDescent="0.25">
      <c r="A71" t="s">
        <v>465</v>
      </c>
      <c r="B71" t="s">
        <v>466</v>
      </c>
      <c r="D71" t="s">
        <v>37</v>
      </c>
      <c r="E71" t="s">
        <v>283</v>
      </c>
      <c r="F71" t="s">
        <v>262</v>
      </c>
      <c r="G71" s="5">
        <v>90500</v>
      </c>
      <c r="H71" t="s">
        <v>270</v>
      </c>
      <c r="I71" t="s">
        <v>467</v>
      </c>
    </row>
    <row r="72" spans="1:9" hidden="1" x14ac:dyDescent="0.25">
      <c r="A72" t="s">
        <v>468</v>
      </c>
      <c r="B72" t="s">
        <v>469</v>
      </c>
      <c r="D72" t="s">
        <v>37</v>
      </c>
      <c r="E72" t="s">
        <v>332</v>
      </c>
      <c r="F72" t="s">
        <v>262</v>
      </c>
      <c r="G72" s="5">
        <v>94500</v>
      </c>
      <c r="H72" t="s">
        <v>270</v>
      </c>
      <c r="I72" t="s">
        <v>470</v>
      </c>
    </row>
    <row r="73" spans="1:9" hidden="1" x14ac:dyDescent="0.25">
      <c r="A73" t="s">
        <v>471</v>
      </c>
      <c r="B73" t="s">
        <v>472</v>
      </c>
      <c r="D73" t="s">
        <v>37</v>
      </c>
      <c r="E73" t="s">
        <v>332</v>
      </c>
      <c r="F73" t="s">
        <v>262</v>
      </c>
      <c r="G73" s="5">
        <v>82000</v>
      </c>
      <c r="H73" t="s">
        <v>270</v>
      </c>
      <c r="I73" t="s">
        <v>473</v>
      </c>
    </row>
    <row r="74" spans="1:9" hidden="1" x14ac:dyDescent="0.25">
      <c r="A74" t="s">
        <v>474</v>
      </c>
      <c r="B74" t="s">
        <v>475</v>
      </c>
      <c r="D74" t="s">
        <v>37</v>
      </c>
      <c r="E74" t="s">
        <v>261</v>
      </c>
      <c r="F74" t="s">
        <v>279</v>
      </c>
      <c r="G74" s="5">
        <v>78500</v>
      </c>
      <c r="H74" t="s">
        <v>270</v>
      </c>
      <c r="I74" t="s">
        <v>476</v>
      </c>
    </row>
    <row r="75" spans="1:9" hidden="1" x14ac:dyDescent="0.25">
      <c r="A75" t="s">
        <v>477</v>
      </c>
      <c r="B75" t="s">
        <v>478</v>
      </c>
      <c r="D75" t="s">
        <v>37</v>
      </c>
      <c r="E75" t="s">
        <v>283</v>
      </c>
      <c r="F75" t="s">
        <v>418</v>
      </c>
      <c r="G75" s="5">
        <v>160000</v>
      </c>
      <c r="H75" t="s">
        <v>270</v>
      </c>
      <c r="I75" t="s">
        <v>381</v>
      </c>
    </row>
    <row r="76" spans="1:9" hidden="1" x14ac:dyDescent="0.25">
      <c r="A76" t="s">
        <v>479</v>
      </c>
      <c r="B76" t="s">
        <v>480</v>
      </c>
      <c r="D76" t="s">
        <v>37</v>
      </c>
      <c r="E76" t="s">
        <v>283</v>
      </c>
      <c r="F76" t="s">
        <v>279</v>
      </c>
      <c r="G76" s="5">
        <v>73500</v>
      </c>
      <c r="H76" t="s">
        <v>270</v>
      </c>
      <c r="I76" t="s">
        <v>481</v>
      </c>
    </row>
    <row r="77" spans="1:9" hidden="1" x14ac:dyDescent="0.25">
      <c r="A77" t="s">
        <v>482</v>
      </c>
      <c r="B77" t="s">
        <v>483</v>
      </c>
      <c r="D77" t="s">
        <v>37</v>
      </c>
      <c r="E77" t="s">
        <v>261</v>
      </c>
      <c r="F77" t="s">
        <v>262</v>
      </c>
      <c r="G77" s="5">
        <v>81000</v>
      </c>
      <c r="H77" t="s">
        <v>270</v>
      </c>
      <c r="I77" t="s">
        <v>424</v>
      </c>
    </row>
    <row r="78" spans="1:9" hidden="1" x14ac:dyDescent="0.25">
      <c r="A78" t="s">
        <v>484</v>
      </c>
      <c r="B78" t="s">
        <v>485</v>
      </c>
      <c r="D78" t="s">
        <v>37</v>
      </c>
      <c r="E78" t="s">
        <v>283</v>
      </c>
      <c r="F78" t="s">
        <v>269</v>
      </c>
      <c r="G78" s="5">
        <v>110000</v>
      </c>
      <c r="H78" t="s">
        <v>270</v>
      </c>
      <c r="I78" t="s">
        <v>312</v>
      </c>
    </row>
    <row r="79" spans="1:9" hidden="1" x14ac:dyDescent="0.25">
      <c r="A79" t="s">
        <v>486</v>
      </c>
      <c r="B79" t="s">
        <v>487</v>
      </c>
      <c r="D79" t="s">
        <v>37</v>
      </c>
      <c r="E79" t="s">
        <v>332</v>
      </c>
      <c r="F79" t="s">
        <v>269</v>
      </c>
      <c r="G79" s="5">
        <v>95000</v>
      </c>
      <c r="H79" t="s">
        <v>270</v>
      </c>
      <c r="I79" t="s">
        <v>321</v>
      </c>
    </row>
    <row r="80" spans="1:9" hidden="1" x14ac:dyDescent="0.25">
      <c r="A80" t="s">
        <v>488</v>
      </c>
      <c r="B80" t="s">
        <v>489</v>
      </c>
      <c r="D80" t="s">
        <v>37</v>
      </c>
      <c r="E80" t="s">
        <v>268</v>
      </c>
      <c r="F80" t="s">
        <v>262</v>
      </c>
      <c r="G80" s="5">
        <v>88500</v>
      </c>
      <c r="H80" t="s">
        <v>270</v>
      </c>
      <c r="I80" t="s">
        <v>490</v>
      </c>
    </row>
    <row r="81" spans="1:9" hidden="1" x14ac:dyDescent="0.25">
      <c r="A81" t="s">
        <v>491</v>
      </c>
      <c r="B81" t="s">
        <v>492</v>
      </c>
      <c r="D81" t="s">
        <v>37</v>
      </c>
      <c r="E81" t="s">
        <v>261</v>
      </c>
      <c r="F81" t="s">
        <v>262</v>
      </c>
      <c r="G81" s="5">
        <v>86500</v>
      </c>
      <c r="H81" t="s">
        <v>270</v>
      </c>
      <c r="I81" t="s">
        <v>493</v>
      </c>
    </row>
    <row r="82" spans="1:9" hidden="1" x14ac:dyDescent="0.25">
      <c r="A82" t="s">
        <v>494</v>
      </c>
      <c r="B82" t="s">
        <v>495</v>
      </c>
      <c r="D82" t="s">
        <v>37</v>
      </c>
      <c r="E82" t="s">
        <v>283</v>
      </c>
      <c r="F82" t="s">
        <v>262</v>
      </c>
      <c r="G82" s="5">
        <v>86000</v>
      </c>
      <c r="H82" t="s">
        <v>270</v>
      </c>
      <c r="I82" t="s">
        <v>392</v>
      </c>
    </row>
    <row r="83" spans="1:9" hidden="1" x14ac:dyDescent="0.25">
      <c r="A83" t="s">
        <v>496</v>
      </c>
      <c r="B83" t="s">
        <v>497</v>
      </c>
      <c r="D83" t="s">
        <v>37</v>
      </c>
      <c r="E83" t="s">
        <v>283</v>
      </c>
      <c r="F83" t="s">
        <v>262</v>
      </c>
      <c r="G83" s="5">
        <v>96500</v>
      </c>
      <c r="H83" t="s">
        <v>270</v>
      </c>
      <c r="I83" t="s">
        <v>498</v>
      </c>
    </row>
    <row r="84" spans="1:9" hidden="1" x14ac:dyDescent="0.25">
      <c r="A84" t="s">
        <v>499</v>
      </c>
      <c r="B84" t="s">
        <v>500</v>
      </c>
      <c r="D84" t="s">
        <v>37</v>
      </c>
      <c r="E84" t="s">
        <v>332</v>
      </c>
      <c r="F84" t="s">
        <v>279</v>
      </c>
      <c r="G84" s="5">
        <v>69000</v>
      </c>
      <c r="H84" t="s">
        <v>270</v>
      </c>
      <c r="I84" t="s">
        <v>312</v>
      </c>
    </row>
    <row r="85" spans="1:9" hidden="1" x14ac:dyDescent="0.25">
      <c r="A85" t="s">
        <v>501</v>
      </c>
      <c r="B85" t="s">
        <v>502</v>
      </c>
      <c r="D85" t="s">
        <v>37</v>
      </c>
      <c r="E85" t="s">
        <v>278</v>
      </c>
      <c r="F85" t="s">
        <v>269</v>
      </c>
      <c r="G85" s="5">
        <v>112000</v>
      </c>
      <c r="H85" t="s">
        <v>270</v>
      </c>
      <c r="I85" t="s">
        <v>284</v>
      </c>
    </row>
    <row r="86" spans="1:9" hidden="1" x14ac:dyDescent="0.25">
      <c r="A86" t="s">
        <v>503</v>
      </c>
      <c r="B86" t="s">
        <v>504</v>
      </c>
      <c r="D86" t="s">
        <v>37</v>
      </c>
      <c r="E86" t="s">
        <v>261</v>
      </c>
      <c r="F86" t="s">
        <v>262</v>
      </c>
      <c r="G86" s="5">
        <v>94000</v>
      </c>
      <c r="H86" t="s">
        <v>270</v>
      </c>
      <c r="I86" t="s">
        <v>505</v>
      </c>
    </row>
    <row r="87" spans="1:9" hidden="1" x14ac:dyDescent="0.25">
      <c r="A87" t="s">
        <v>506</v>
      </c>
      <c r="B87" t="s">
        <v>507</v>
      </c>
      <c r="D87" t="s">
        <v>37</v>
      </c>
      <c r="E87" t="s">
        <v>278</v>
      </c>
      <c r="F87" t="s">
        <v>279</v>
      </c>
      <c r="G87" s="5">
        <v>76000</v>
      </c>
      <c r="H87" t="s">
        <v>270</v>
      </c>
      <c r="I87" t="s">
        <v>275</v>
      </c>
    </row>
    <row r="88" spans="1:9" hidden="1" x14ac:dyDescent="0.25">
      <c r="A88" t="s">
        <v>508</v>
      </c>
      <c r="B88" t="s">
        <v>509</v>
      </c>
      <c r="D88" t="s">
        <v>37</v>
      </c>
      <c r="E88" t="s">
        <v>268</v>
      </c>
      <c r="F88" t="s">
        <v>262</v>
      </c>
      <c r="G88" s="5">
        <v>86000</v>
      </c>
      <c r="H88" t="s">
        <v>270</v>
      </c>
      <c r="I88" t="s">
        <v>294</v>
      </c>
    </row>
    <row r="89" spans="1:9" hidden="1" x14ac:dyDescent="0.25">
      <c r="A89" t="s">
        <v>510</v>
      </c>
      <c r="B89" t="s">
        <v>511</v>
      </c>
      <c r="D89" t="s">
        <v>37</v>
      </c>
      <c r="E89" t="s">
        <v>261</v>
      </c>
      <c r="F89" t="s">
        <v>262</v>
      </c>
      <c r="G89" s="5">
        <v>85000</v>
      </c>
      <c r="H89" t="s">
        <v>270</v>
      </c>
      <c r="I89" t="s">
        <v>427</v>
      </c>
    </row>
    <row r="90" spans="1:9" hidden="1" x14ac:dyDescent="0.25">
      <c r="A90" t="s">
        <v>512</v>
      </c>
      <c r="B90" t="s">
        <v>513</v>
      </c>
      <c r="D90" t="s">
        <v>37</v>
      </c>
      <c r="E90" t="s">
        <v>283</v>
      </c>
      <c r="F90" t="s">
        <v>274</v>
      </c>
      <c r="G90" s="5">
        <v>124000</v>
      </c>
      <c r="H90" t="s">
        <v>270</v>
      </c>
      <c r="I90" t="s">
        <v>514</v>
      </c>
    </row>
    <row r="91" spans="1:9" hidden="1" x14ac:dyDescent="0.25">
      <c r="A91" t="s">
        <v>515</v>
      </c>
      <c r="B91" t="s">
        <v>516</v>
      </c>
      <c r="D91" t="s">
        <v>37</v>
      </c>
      <c r="E91" t="s">
        <v>332</v>
      </c>
      <c r="F91" t="s">
        <v>269</v>
      </c>
      <c r="G91" s="5">
        <v>112500</v>
      </c>
      <c r="H91" t="s">
        <v>270</v>
      </c>
      <c r="I91" t="s">
        <v>517</v>
      </c>
    </row>
    <row r="92" spans="1:9" hidden="1" x14ac:dyDescent="0.25">
      <c r="A92" t="s">
        <v>518</v>
      </c>
      <c r="B92" t="s">
        <v>519</v>
      </c>
      <c r="D92" t="s">
        <v>37</v>
      </c>
      <c r="E92" t="s">
        <v>261</v>
      </c>
      <c r="F92" t="s">
        <v>290</v>
      </c>
      <c r="G92" s="5">
        <v>136500</v>
      </c>
      <c r="H92" t="s">
        <v>270</v>
      </c>
      <c r="I92" t="s">
        <v>312</v>
      </c>
    </row>
    <row r="93" spans="1:9" hidden="1" x14ac:dyDescent="0.25">
      <c r="A93" t="s">
        <v>520</v>
      </c>
      <c r="B93" t="s">
        <v>521</v>
      </c>
      <c r="D93" t="s">
        <v>37</v>
      </c>
      <c r="E93" t="s">
        <v>278</v>
      </c>
      <c r="F93" t="s">
        <v>269</v>
      </c>
      <c r="G93" s="5">
        <v>97500</v>
      </c>
      <c r="H93" t="s">
        <v>270</v>
      </c>
      <c r="I93" t="s">
        <v>522</v>
      </c>
    </row>
    <row r="94" spans="1:9" hidden="1" x14ac:dyDescent="0.25">
      <c r="A94" t="s">
        <v>523</v>
      </c>
      <c r="B94" t="s">
        <v>524</v>
      </c>
      <c r="D94" t="s">
        <v>44</v>
      </c>
      <c r="E94" t="s">
        <v>525</v>
      </c>
      <c r="F94" t="s">
        <v>269</v>
      </c>
      <c r="G94" s="5">
        <v>121500</v>
      </c>
      <c r="H94" t="s">
        <v>270</v>
      </c>
      <c r="I94" t="s">
        <v>384</v>
      </c>
    </row>
    <row r="95" spans="1:9" hidden="1" x14ac:dyDescent="0.25">
      <c r="A95" t="s">
        <v>526</v>
      </c>
      <c r="B95" t="s">
        <v>527</v>
      </c>
      <c r="D95" t="s">
        <v>44</v>
      </c>
      <c r="E95" t="s">
        <v>528</v>
      </c>
      <c r="F95" t="s">
        <v>262</v>
      </c>
      <c r="G95" s="5">
        <v>95000</v>
      </c>
      <c r="H95" t="s">
        <v>270</v>
      </c>
      <c r="I95" t="s">
        <v>529</v>
      </c>
    </row>
    <row r="96" spans="1:9" hidden="1" x14ac:dyDescent="0.25">
      <c r="A96" t="s">
        <v>530</v>
      </c>
      <c r="B96" t="s">
        <v>531</v>
      </c>
      <c r="D96" t="s">
        <v>44</v>
      </c>
      <c r="E96" t="s">
        <v>532</v>
      </c>
      <c r="F96" t="s">
        <v>290</v>
      </c>
      <c r="G96" s="5">
        <v>151000</v>
      </c>
      <c r="H96" t="s">
        <v>270</v>
      </c>
      <c r="I96" t="s">
        <v>467</v>
      </c>
    </row>
    <row r="97" spans="1:10" hidden="1" x14ac:dyDescent="0.25">
      <c r="A97" t="s">
        <v>533</v>
      </c>
      <c r="B97" t="s">
        <v>534</v>
      </c>
      <c r="D97" t="s">
        <v>44</v>
      </c>
      <c r="E97" t="s">
        <v>532</v>
      </c>
      <c r="F97" t="s">
        <v>274</v>
      </c>
      <c r="G97" s="5">
        <v>167500</v>
      </c>
      <c r="H97" t="s">
        <v>270</v>
      </c>
      <c r="I97" t="s">
        <v>535</v>
      </c>
    </row>
    <row r="98" spans="1:10" hidden="1" x14ac:dyDescent="0.25">
      <c r="A98" t="s">
        <v>536</v>
      </c>
      <c r="B98" t="s">
        <v>537</v>
      </c>
      <c r="D98" t="s">
        <v>44</v>
      </c>
      <c r="E98" t="s">
        <v>525</v>
      </c>
      <c r="F98" t="s">
        <v>290</v>
      </c>
      <c r="G98" s="5">
        <v>146500</v>
      </c>
      <c r="H98" t="s">
        <v>270</v>
      </c>
      <c r="I98" t="s">
        <v>538</v>
      </c>
    </row>
    <row r="99" spans="1:10" hidden="1" x14ac:dyDescent="0.25">
      <c r="A99" t="s">
        <v>539</v>
      </c>
      <c r="B99" t="s">
        <v>540</v>
      </c>
      <c r="D99" t="s">
        <v>44</v>
      </c>
      <c r="E99" t="s">
        <v>532</v>
      </c>
      <c r="F99" t="s">
        <v>279</v>
      </c>
      <c r="G99" s="5">
        <v>79000</v>
      </c>
      <c r="H99" t="s">
        <v>270</v>
      </c>
      <c r="I99" t="s">
        <v>541</v>
      </c>
    </row>
    <row r="100" spans="1:10" hidden="1" x14ac:dyDescent="0.25">
      <c r="A100" t="s">
        <v>542</v>
      </c>
      <c r="B100" t="s">
        <v>543</v>
      </c>
      <c r="D100" t="s">
        <v>44</v>
      </c>
      <c r="E100" t="s">
        <v>525</v>
      </c>
      <c r="F100" t="s">
        <v>269</v>
      </c>
      <c r="G100" s="5">
        <v>122000</v>
      </c>
      <c r="H100" t="s">
        <v>270</v>
      </c>
      <c r="I100" t="s">
        <v>522</v>
      </c>
    </row>
    <row r="101" spans="1:10" hidden="1" x14ac:dyDescent="0.25">
      <c r="A101" t="s">
        <v>544</v>
      </c>
      <c r="B101" t="s">
        <v>352</v>
      </c>
      <c r="D101" t="s">
        <v>44</v>
      </c>
      <c r="E101" t="s">
        <v>525</v>
      </c>
      <c r="F101" t="s">
        <v>279</v>
      </c>
      <c r="G101" s="5">
        <v>92000</v>
      </c>
      <c r="H101" t="s">
        <v>270</v>
      </c>
      <c r="I101" t="s">
        <v>545</v>
      </c>
    </row>
    <row r="102" spans="1:10" hidden="1" x14ac:dyDescent="0.25">
      <c r="A102" t="s">
        <v>546</v>
      </c>
      <c r="B102" t="s">
        <v>547</v>
      </c>
      <c r="D102" t="s">
        <v>44</v>
      </c>
      <c r="E102" t="s">
        <v>525</v>
      </c>
      <c r="F102" t="s">
        <v>279</v>
      </c>
      <c r="G102" s="5">
        <v>89000</v>
      </c>
      <c r="H102" t="s">
        <v>270</v>
      </c>
      <c r="I102" t="s">
        <v>284</v>
      </c>
    </row>
    <row r="103" spans="1:10" hidden="1" x14ac:dyDescent="0.25">
      <c r="A103" t="s">
        <v>548</v>
      </c>
      <c r="B103" t="s">
        <v>549</v>
      </c>
      <c r="D103" t="s">
        <v>44</v>
      </c>
      <c r="E103" t="s">
        <v>525</v>
      </c>
      <c r="F103" t="s">
        <v>274</v>
      </c>
      <c r="G103" s="5">
        <v>151000</v>
      </c>
      <c r="H103" t="s">
        <v>270</v>
      </c>
      <c r="I103" t="s">
        <v>550</v>
      </c>
    </row>
    <row r="104" spans="1:10" hidden="1" x14ac:dyDescent="0.25">
      <c r="A104" t="s">
        <v>551</v>
      </c>
      <c r="B104" t="s">
        <v>552</v>
      </c>
      <c r="D104" t="s">
        <v>44</v>
      </c>
      <c r="E104" t="s">
        <v>525</v>
      </c>
      <c r="F104" t="s">
        <v>279</v>
      </c>
      <c r="G104" s="5">
        <v>85000</v>
      </c>
      <c r="H104" t="s">
        <v>270</v>
      </c>
      <c r="I104" t="s">
        <v>445</v>
      </c>
    </row>
    <row r="105" spans="1:10" hidden="1" x14ac:dyDescent="0.25">
      <c r="A105" t="s">
        <v>553</v>
      </c>
      <c r="B105" t="s">
        <v>554</v>
      </c>
      <c r="D105" t="s">
        <v>44</v>
      </c>
      <c r="E105" t="s">
        <v>528</v>
      </c>
      <c r="F105" t="s">
        <v>279</v>
      </c>
      <c r="G105" s="5">
        <v>90500</v>
      </c>
      <c r="H105" t="s">
        <v>263</v>
      </c>
      <c r="I105" t="s">
        <v>555</v>
      </c>
      <c r="J105" t="s">
        <v>556</v>
      </c>
    </row>
    <row r="106" spans="1:10" hidden="1" x14ac:dyDescent="0.25">
      <c r="A106" t="s">
        <v>557</v>
      </c>
      <c r="B106" t="s">
        <v>558</v>
      </c>
      <c r="D106" t="s">
        <v>44</v>
      </c>
      <c r="E106" t="s">
        <v>525</v>
      </c>
      <c r="F106" t="s">
        <v>279</v>
      </c>
      <c r="G106" s="5">
        <v>86000</v>
      </c>
      <c r="H106" t="s">
        <v>270</v>
      </c>
      <c r="I106" t="s">
        <v>559</v>
      </c>
    </row>
    <row r="107" spans="1:10" hidden="1" x14ac:dyDescent="0.25">
      <c r="A107" t="s">
        <v>560</v>
      </c>
      <c r="B107" t="s">
        <v>326</v>
      </c>
      <c r="D107" t="s">
        <v>44</v>
      </c>
      <c r="E107" t="s">
        <v>528</v>
      </c>
      <c r="F107" t="s">
        <v>262</v>
      </c>
      <c r="G107" s="5">
        <v>98500</v>
      </c>
      <c r="H107" t="s">
        <v>270</v>
      </c>
      <c r="I107" t="s">
        <v>400</v>
      </c>
    </row>
    <row r="108" spans="1:10" hidden="1" x14ac:dyDescent="0.25">
      <c r="A108" t="s">
        <v>561</v>
      </c>
      <c r="B108" t="s">
        <v>562</v>
      </c>
      <c r="D108" t="s">
        <v>44</v>
      </c>
      <c r="E108" t="s">
        <v>528</v>
      </c>
      <c r="F108" t="s">
        <v>262</v>
      </c>
      <c r="G108" s="5">
        <v>93000</v>
      </c>
      <c r="H108" t="s">
        <v>270</v>
      </c>
      <c r="I108" t="s">
        <v>563</v>
      </c>
    </row>
    <row r="109" spans="1:10" hidden="1" x14ac:dyDescent="0.25">
      <c r="A109" t="s">
        <v>564</v>
      </c>
      <c r="B109" t="s">
        <v>565</v>
      </c>
      <c r="D109" t="s">
        <v>44</v>
      </c>
      <c r="E109" t="s">
        <v>525</v>
      </c>
      <c r="F109" t="s">
        <v>269</v>
      </c>
      <c r="G109" s="5">
        <v>126000</v>
      </c>
      <c r="H109" t="s">
        <v>270</v>
      </c>
      <c r="I109" t="s">
        <v>566</v>
      </c>
    </row>
    <row r="110" spans="1:10" hidden="1" x14ac:dyDescent="0.25">
      <c r="A110" t="s">
        <v>567</v>
      </c>
      <c r="B110" t="s">
        <v>568</v>
      </c>
      <c r="D110" t="s">
        <v>44</v>
      </c>
      <c r="E110" t="s">
        <v>528</v>
      </c>
      <c r="F110" t="s">
        <v>290</v>
      </c>
      <c r="G110" s="5">
        <v>148500</v>
      </c>
      <c r="H110" t="s">
        <v>270</v>
      </c>
      <c r="I110" t="s">
        <v>569</v>
      </c>
    </row>
    <row r="111" spans="1:10" hidden="1" x14ac:dyDescent="0.25">
      <c r="A111" t="s">
        <v>570</v>
      </c>
      <c r="B111" t="s">
        <v>571</v>
      </c>
      <c r="D111" t="s">
        <v>44</v>
      </c>
      <c r="E111" t="s">
        <v>572</v>
      </c>
      <c r="F111" t="s">
        <v>279</v>
      </c>
      <c r="G111" s="5">
        <v>80500</v>
      </c>
      <c r="H111" t="s">
        <v>270</v>
      </c>
      <c r="I111" t="s">
        <v>573</v>
      </c>
    </row>
    <row r="112" spans="1:10" hidden="1" x14ac:dyDescent="0.25">
      <c r="A112" t="s">
        <v>574</v>
      </c>
      <c r="B112" t="s">
        <v>361</v>
      </c>
      <c r="D112" t="s">
        <v>44</v>
      </c>
      <c r="E112" t="s">
        <v>572</v>
      </c>
      <c r="F112" t="s">
        <v>262</v>
      </c>
      <c r="G112" s="5">
        <v>101500</v>
      </c>
      <c r="H112" t="s">
        <v>270</v>
      </c>
      <c r="I112" t="s">
        <v>575</v>
      </c>
    </row>
    <row r="113" spans="1:10" hidden="1" x14ac:dyDescent="0.25">
      <c r="A113" t="s">
        <v>576</v>
      </c>
      <c r="B113" t="s">
        <v>577</v>
      </c>
      <c r="D113" t="s">
        <v>44</v>
      </c>
      <c r="E113" t="s">
        <v>572</v>
      </c>
      <c r="F113" t="s">
        <v>279</v>
      </c>
      <c r="G113" s="5">
        <v>85000</v>
      </c>
      <c r="H113" t="s">
        <v>270</v>
      </c>
      <c r="I113" t="s">
        <v>578</v>
      </c>
    </row>
    <row r="114" spans="1:10" hidden="1" x14ac:dyDescent="0.25">
      <c r="A114" t="s">
        <v>579</v>
      </c>
      <c r="B114" t="s">
        <v>580</v>
      </c>
      <c r="D114" t="s">
        <v>44</v>
      </c>
      <c r="E114" t="s">
        <v>525</v>
      </c>
      <c r="F114" t="s">
        <v>279</v>
      </c>
      <c r="G114" s="5">
        <v>88500</v>
      </c>
      <c r="H114" t="s">
        <v>270</v>
      </c>
      <c r="I114" t="s">
        <v>559</v>
      </c>
    </row>
    <row r="115" spans="1:10" hidden="1" x14ac:dyDescent="0.25">
      <c r="A115" t="s">
        <v>581</v>
      </c>
      <c r="B115" t="s">
        <v>417</v>
      </c>
      <c r="D115" t="s">
        <v>44</v>
      </c>
      <c r="E115" t="s">
        <v>532</v>
      </c>
      <c r="F115" t="s">
        <v>279</v>
      </c>
      <c r="G115" s="5">
        <v>88000</v>
      </c>
      <c r="H115" t="s">
        <v>270</v>
      </c>
      <c r="I115" t="s">
        <v>582</v>
      </c>
    </row>
    <row r="116" spans="1:10" hidden="1" x14ac:dyDescent="0.25">
      <c r="A116" t="s">
        <v>583</v>
      </c>
      <c r="B116" t="s">
        <v>584</v>
      </c>
      <c r="D116" t="s">
        <v>44</v>
      </c>
      <c r="E116" t="s">
        <v>572</v>
      </c>
      <c r="F116" t="s">
        <v>274</v>
      </c>
      <c r="G116" s="5">
        <v>168000</v>
      </c>
      <c r="H116" t="s">
        <v>270</v>
      </c>
      <c r="I116" t="s">
        <v>585</v>
      </c>
    </row>
    <row r="117" spans="1:10" hidden="1" x14ac:dyDescent="0.25">
      <c r="A117" t="s">
        <v>586</v>
      </c>
      <c r="B117" t="s">
        <v>587</v>
      </c>
      <c r="D117" t="s">
        <v>44</v>
      </c>
      <c r="E117" t="s">
        <v>525</v>
      </c>
      <c r="F117" t="s">
        <v>274</v>
      </c>
      <c r="G117" s="5">
        <v>163500</v>
      </c>
      <c r="H117" t="s">
        <v>270</v>
      </c>
      <c r="I117" t="s">
        <v>588</v>
      </c>
    </row>
    <row r="118" spans="1:10" hidden="1" x14ac:dyDescent="0.25">
      <c r="A118" t="s">
        <v>589</v>
      </c>
      <c r="B118" t="s">
        <v>590</v>
      </c>
      <c r="D118" t="s">
        <v>44</v>
      </c>
      <c r="E118" t="s">
        <v>528</v>
      </c>
      <c r="F118" t="s">
        <v>279</v>
      </c>
      <c r="G118" s="5">
        <v>95000</v>
      </c>
      <c r="H118" t="s">
        <v>270</v>
      </c>
      <c r="I118" t="s">
        <v>591</v>
      </c>
    </row>
    <row r="119" spans="1:10" hidden="1" x14ac:dyDescent="0.25">
      <c r="A119" t="s">
        <v>592</v>
      </c>
      <c r="B119" t="s">
        <v>593</v>
      </c>
      <c r="D119" t="s">
        <v>44</v>
      </c>
      <c r="E119" t="s">
        <v>528</v>
      </c>
      <c r="F119" t="s">
        <v>262</v>
      </c>
      <c r="G119" s="5">
        <v>112000</v>
      </c>
      <c r="H119" t="s">
        <v>270</v>
      </c>
      <c r="I119" t="s">
        <v>400</v>
      </c>
    </row>
    <row r="120" spans="1:10" hidden="1" x14ac:dyDescent="0.25">
      <c r="A120" t="s">
        <v>594</v>
      </c>
      <c r="B120" t="s">
        <v>595</v>
      </c>
      <c r="D120" t="s">
        <v>44</v>
      </c>
      <c r="E120" t="s">
        <v>528</v>
      </c>
      <c r="F120" t="s">
        <v>279</v>
      </c>
      <c r="G120" s="5">
        <v>81500</v>
      </c>
      <c r="H120" t="s">
        <v>270</v>
      </c>
      <c r="I120" t="s">
        <v>473</v>
      </c>
    </row>
    <row r="121" spans="1:10" hidden="1" x14ac:dyDescent="0.25">
      <c r="A121" t="s">
        <v>596</v>
      </c>
      <c r="B121" t="s">
        <v>597</v>
      </c>
      <c r="D121" t="s">
        <v>44</v>
      </c>
      <c r="E121" t="s">
        <v>528</v>
      </c>
      <c r="F121" t="s">
        <v>262</v>
      </c>
      <c r="G121" s="5">
        <v>105000</v>
      </c>
      <c r="H121" t="s">
        <v>270</v>
      </c>
      <c r="I121" t="s">
        <v>464</v>
      </c>
    </row>
    <row r="122" spans="1:10" hidden="1" x14ac:dyDescent="0.25">
      <c r="A122" t="s">
        <v>598</v>
      </c>
      <c r="B122" t="s">
        <v>599</v>
      </c>
      <c r="D122" t="s">
        <v>45</v>
      </c>
      <c r="E122" t="s">
        <v>600</v>
      </c>
      <c r="F122" t="s">
        <v>269</v>
      </c>
      <c r="G122" s="5">
        <v>105500</v>
      </c>
      <c r="H122" t="s">
        <v>270</v>
      </c>
      <c r="I122" t="s">
        <v>601</v>
      </c>
    </row>
    <row r="123" spans="1:10" hidden="1" x14ac:dyDescent="0.25">
      <c r="A123" t="s">
        <v>602</v>
      </c>
      <c r="B123" t="s">
        <v>433</v>
      </c>
      <c r="D123" t="s">
        <v>45</v>
      </c>
      <c r="E123" t="s">
        <v>603</v>
      </c>
      <c r="F123" t="s">
        <v>269</v>
      </c>
      <c r="G123" s="5">
        <v>108000</v>
      </c>
      <c r="H123" t="s">
        <v>270</v>
      </c>
      <c r="I123" t="s">
        <v>291</v>
      </c>
    </row>
    <row r="124" spans="1:10" hidden="1" x14ac:dyDescent="0.25">
      <c r="A124" t="s">
        <v>604</v>
      </c>
      <c r="B124" t="s">
        <v>605</v>
      </c>
      <c r="D124" t="s">
        <v>45</v>
      </c>
      <c r="E124" t="s">
        <v>606</v>
      </c>
      <c r="F124" t="s">
        <v>290</v>
      </c>
      <c r="G124" s="5">
        <v>115000</v>
      </c>
      <c r="H124" t="s">
        <v>270</v>
      </c>
      <c r="I124" t="s">
        <v>395</v>
      </c>
    </row>
    <row r="125" spans="1:10" hidden="1" x14ac:dyDescent="0.25">
      <c r="A125" t="s">
        <v>607</v>
      </c>
      <c r="B125" t="s">
        <v>608</v>
      </c>
      <c r="D125" t="s">
        <v>45</v>
      </c>
      <c r="E125" t="s">
        <v>603</v>
      </c>
      <c r="F125" t="s">
        <v>279</v>
      </c>
      <c r="G125" s="5">
        <v>66000</v>
      </c>
      <c r="H125" t="s">
        <v>270</v>
      </c>
      <c r="I125" t="s">
        <v>522</v>
      </c>
    </row>
    <row r="126" spans="1:10" hidden="1" x14ac:dyDescent="0.25">
      <c r="A126" t="s">
        <v>609</v>
      </c>
      <c r="B126" t="s">
        <v>610</v>
      </c>
      <c r="D126" t="s">
        <v>45</v>
      </c>
      <c r="E126" t="s">
        <v>600</v>
      </c>
      <c r="F126" t="s">
        <v>269</v>
      </c>
      <c r="G126" s="5">
        <v>107000</v>
      </c>
      <c r="H126" t="s">
        <v>270</v>
      </c>
      <c r="I126" t="s">
        <v>575</v>
      </c>
    </row>
    <row r="127" spans="1:10" hidden="1" x14ac:dyDescent="0.25">
      <c r="A127" t="s">
        <v>611</v>
      </c>
      <c r="B127" t="s">
        <v>421</v>
      </c>
      <c r="D127" t="s">
        <v>45</v>
      </c>
      <c r="E127" t="s">
        <v>606</v>
      </c>
      <c r="F127" t="s">
        <v>290</v>
      </c>
      <c r="G127" s="5">
        <v>109000</v>
      </c>
      <c r="H127" t="s">
        <v>263</v>
      </c>
      <c r="I127" t="s">
        <v>545</v>
      </c>
      <c r="J127" t="s">
        <v>612</v>
      </c>
    </row>
    <row r="128" spans="1:10" hidden="1" x14ac:dyDescent="0.25">
      <c r="A128" t="s">
        <v>613</v>
      </c>
      <c r="B128" t="s">
        <v>614</v>
      </c>
      <c r="D128" t="s">
        <v>45</v>
      </c>
      <c r="E128" t="s">
        <v>600</v>
      </c>
      <c r="F128" t="s">
        <v>262</v>
      </c>
      <c r="G128" s="5">
        <v>91000</v>
      </c>
      <c r="H128" t="s">
        <v>270</v>
      </c>
      <c r="I128" t="s">
        <v>517</v>
      </c>
    </row>
    <row r="129" spans="1:9" hidden="1" x14ac:dyDescent="0.25">
      <c r="A129" t="s">
        <v>615</v>
      </c>
      <c r="B129" t="s">
        <v>616</v>
      </c>
      <c r="D129" t="s">
        <v>45</v>
      </c>
      <c r="E129" t="s">
        <v>603</v>
      </c>
      <c r="F129" t="s">
        <v>418</v>
      </c>
      <c r="G129" s="5">
        <v>167500</v>
      </c>
      <c r="H129" t="s">
        <v>270</v>
      </c>
      <c r="I129" t="s">
        <v>617</v>
      </c>
    </row>
    <row r="130" spans="1:9" hidden="1" x14ac:dyDescent="0.25">
      <c r="A130" t="s">
        <v>618</v>
      </c>
      <c r="B130" t="s">
        <v>619</v>
      </c>
      <c r="D130" t="s">
        <v>45</v>
      </c>
      <c r="E130" t="s">
        <v>606</v>
      </c>
      <c r="F130" t="s">
        <v>269</v>
      </c>
      <c r="G130" s="5">
        <v>93000</v>
      </c>
      <c r="H130" t="s">
        <v>270</v>
      </c>
      <c r="I130" t="s">
        <v>620</v>
      </c>
    </row>
    <row r="131" spans="1:9" hidden="1" x14ac:dyDescent="0.25">
      <c r="A131" t="s">
        <v>621</v>
      </c>
      <c r="B131" t="s">
        <v>622</v>
      </c>
      <c r="D131" t="s">
        <v>45</v>
      </c>
      <c r="E131" t="s">
        <v>606</v>
      </c>
      <c r="F131" t="s">
        <v>269</v>
      </c>
      <c r="G131" s="5">
        <v>102000</v>
      </c>
      <c r="H131" t="s">
        <v>270</v>
      </c>
      <c r="I131" t="s">
        <v>623</v>
      </c>
    </row>
    <row r="132" spans="1:9" hidden="1" x14ac:dyDescent="0.25">
      <c r="A132" t="s">
        <v>624</v>
      </c>
      <c r="B132" t="s">
        <v>625</v>
      </c>
      <c r="D132" t="s">
        <v>45</v>
      </c>
      <c r="E132" t="s">
        <v>600</v>
      </c>
      <c r="F132" t="s">
        <v>279</v>
      </c>
      <c r="G132" s="5">
        <v>72500</v>
      </c>
      <c r="H132" t="s">
        <v>270</v>
      </c>
      <c r="I132" t="s">
        <v>626</v>
      </c>
    </row>
    <row r="133" spans="1:9" hidden="1" x14ac:dyDescent="0.25">
      <c r="A133" t="s">
        <v>627</v>
      </c>
      <c r="B133" t="s">
        <v>628</v>
      </c>
      <c r="D133" t="s">
        <v>45</v>
      </c>
      <c r="E133" t="s">
        <v>600</v>
      </c>
      <c r="F133" t="s">
        <v>290</v>
      </c>
      <c r="G133" s="5">
        <v>115000</v>
      </c>
      <c r="H133" t="s">
        <v>270</v>
      </c>
      <c r="I133" t="s">
        <v>629</v>
      </c>
    </row>
    <row r="134" spans="1:9" hidden="1" x14ac:dyDescent="0.25">
      <c r="A134" t="s">
        <v>630</v>
      </c>
      <c r="B134" t="s">
        <v>631</v>
      </c>
      <c r="D134" t="s">
        <v>45</v>
      </c>
      <c r="E134" t="s">
        <v>603</v>
      </c>
      <c r="F134" t="s">
        <v>279</v>
      </c>
      <c r="G134" s="5">
        <v>77000</v>
      </c>
      <c r="H134" t="s">
        <v>270</v>
      </c>
      <c r="I134" t="s">
        <v>566</v>
      </c>
    </row>
    <row r="135" spans="1:9" hidden="1" x14ac:dyDescent="0.25">
      <c r="A135" t="s">
        <v>632</v>
      </c>
      <c r="B135" t="s">
        <v>633</v>
      </c>
      <c r="D135" t="s">
        <v>45</v>
      </c>
      <c r="E135" t="s">
        <v>600</v>
      </c>
      <c r="F135" t="s">
        <v>279</v>
      </c>
      <c r="G135" s="5">
        <v>76500</v>
      </c>
      <c r="H135" t="s">
        <v>270</v>
      </c>
      <c r="I135" t="s">
        <v>318</v>
      </c>
    </row>
    <row r="136" spans="1:9" hidden="1" x14ac:dyDescent="0.25">
      <c r="A136" t="s">
        <v>634</v>
      </c>
      <c r="B136" t="s">
        <v>635</v>
      </c>
      <c r="D136" t="s">
        <v>45</v>
      </c>
      <c r="E136" t="s">
        <v>603</v>
      </c>
      <c r="F136" t="s">
        <v>262</v>
      </c>
      <c r="G136" s="5">
        <v>92000</v>
      </c>
      <c r="H136" t="s">
        <v>270</v>
      </c>
      <c r="I136" t="s">
        <v>636</v>
      </c>
    </row>
    <row r="137" spans="1:9" hidden="1" x14ac:dyDescent="0.25">
      <c r="A137" t="s">
        <v>637</v>
      </c>
      <c r="B137" t="s">
        <v>638</v>
      </c>
      <c r="D137" t="s">
        <v>45</v>
      </c>
      <c r="E137" t="s">
        <v>603</v>
      </c>
      <c r="F137" t="s">
        <v>269</v>
      </c>
      <c r="G137" s="5">
        <v>95000</v>
      </c>
      <c r="H137" t="s">
        <v>270</v>
      </c>
      <c r="I137" t="s">
        <v>639</v>
      </c>
    </row>
    <row r="138" spans="1:9" hidden="1" x14ac:dyDescent="0.25">
      <c r="A138" t="s">
        <v>640</v>
      </c>
      <c r="B138" t="s">
        <v>641</v>
      </c>
      <c r="D138" t="s">
        <v>45</v>
      </c>
      <c r="E138" t="s">
        <v>600</v>
      </c>
      <c r="F138" t="s">
        <v>279</v>
      </c>
      <c r="G138" s="5">
        <v>69500</v>
      </c>
      <c r="H138" t="s">
        <v>270</v>
      </c>
      <c r="I138" t="s">
        <v>642</v>
      </c>
    </row>
    <row r="139" spans="1:9" hidden="1" x14ac:dyDescent="0.25">
      <c r="A139" t="s">
        <v>643</v>
      </c>
      <c r="B139" t="s">
        <v>644</v>
      </c>
      <c r="D139" t="s">
        <v>45</v>
      </c>
      <c r="E139" t="s">
        <v>606</v>
      </c>
      <c r="F139" t="s">
        <v>279</v>
      </c>
      <c r="G139" s="5">
        <v>72000</v>
      </c>
      <c r="H139" t="s">
        <v>270</v>
      </c>
      <c r="I139" t="s">
        <v>645</v>
      </c>
    </row>
    <row r="140" spans="1:9" hidden="1" x14ac:dyDescent="0.25">
      <c r="A140" t="s">
        <v>646</v>
      </c>
      <c r="B140" t="s">
        <v>647</v>
      </c>
      <c r="D140" t="s">
        <v>45</v>
      </c>
      <c r="E140" t="s">
        <v>600</v>
      </c>
      <c r="F140" t="s">
        <v>269</v>
      </c>
      <c r="G140" s="5">
        <v>99500</v>
      </c>
      <c r="H140" t="s">
        <v>270</v>
      </c>
      <c r="I140" t="s">
        <v>464</v>
      </c>
    </row>
    <row r="141" spans="1:9" hidden="1" x14ac:dyDescent="0.25">
      <c r="A141" t="s">
        <v>648</v>
      </c>
      <c r="B141" t="s">
        <v>649</v>
      </c>
      <c r="D141" t="s">
        <v>45</v>
      </c>
      <c r="E141" t="s">
        <v>603</v>
      </c>
      <c r="F141" t="s">
        <v>262</v>
      </c>
      <c r="G141" s="5">
        <v>83500</v>
      </c>
      <c r="H141" t="s">
        <v>270</v>
      </c>
      <c r="I141" t="s">
        <v>650</v>
      </c>
    </row>
    <row r="142" spans="1:9" hidden="1" x14ac:dyDescent="0.25">
      <c r="A142" t="s">
        <v>651</v>
      </c>
      <c r="B142" t="s">
        <v>652</v>
      </c>
      <c r="D142" t="s">
        <v>45</v>
      </c>
      <c r="E142" t="s">
        <v>600</v>
      </c>
      <c r="F142" t="s">
        <v>279</v>
      </c>
      <c r="G142" s="5">
        <v>73500</v>
      </c>
      <c r="H142" t="s">
        <v>270</v>
      </c>
      <c r="I142" t="s">
        <v>653</v>
      </c>
    </row>
    <row r="143" spans="1:9" hidden="1" x14ac:dyDescent="0.25">
      <c r="A143" t="s">
        <v>654</v>
      </c>
      <c r="B143" t="s">
        <v>655</v>
      </c>
      <c r="D143" t="s">
        <v>45</v>
      </c>
      <c r="E143" t="s">
        <v>606</v>
      </c>
      <c r="F143" t="s">
        <v>262</v>
      </c>
      <c r="G143" s="5">
        <v>81000</v>
      </c>
      <c r="H143" t="s">
        <v>270</v>
      </c>
      <c r="I143" t="s">
        <v>365</v>
      </c>
    </row>
    <row r="144" spans="1:9" hidden="1" x14ac:dyDescent="0.25">
      <c r="A144" t="s">
        <v>656</v>
      </c>
      <c r="B144" t="s">
        <v>657</v>
      </c>
      <c r="D144" t="s">
        <v>45</v>
      </c>
      <c r="E144" t="s">
        <v>606</v>
      </c>
      <c r="F144" t="s">
        <v>262</v>
      </c>
      <c r="G144" s="5">
        <v>83500</v>
      </c>
      <c r="H144" t="s">
        <v>270</v>
      </c>
      <c r="I144" t="s">
        <v>658</v>
      </c>
    </row>
    <row r="145" spans="1:9" hidden="1" x14ac:dyDescent="0.25">
      <c r="A145" t="s">
        <v>659</v>
      </c>
      <c r="B145" t="s">
        <v>660</v>
      </c>
      <c r="D145" t="s">
        <v>45</v>
      </c>
      <c r="E145" t="s">
        <v>603</v>
      </c>
      <c r="F145" t="s">
        <v>269</v>
      </c>
      <c r="G145" s="5">
        <v>106000</v>
      </c>
      <c r="H145" t="s">
        <v>270</v>
      </c>
      <c r="I145" t="s">
        <v>623</v>
      </c>
    </row>
    <row r="146" spans="1:9" hidden="1" x14ac:dyDescent="0.25">
      <c r="A146" t="s">
        <v>661</v>
      </c>
      <c r="B146" t="s">
        <v>331</v>
      </c>
      <c r="D146" t="s">
        <v>45</v>
      </c>
      <c r="E146" t="s">
        <v>600</v>
      </c>
      <c r="F146" t="s">
        <v>262</v>
      </c>
      <c r="G146" s="5">
        <v>86000</v>
      </c>
      <c r="H146" t="s">
        <v>270</v>
      </c>
      <c r="I146" t="s">
        <v>662</v>
      </c>
    </row>
    <row r="147" spans="1:9" hidden="1" x14ac:dyDescent="0.25">
      <c r="A147" t="s">
        <v>663</v>
      </c>
      <c r="B147" t="s">
        <v>664</v>
      </c>
      <c r="D147" t="s">
        <v>45</v>
      </c>
      <c r="E147" t="s">
        <v>600</v>
      </c>
      <c r="F147" t="s">
        <v>262</v>
      </c>
      <c r="G147" s="5">
        <v>91500</v>
      </c>
      <c r="H147" t="s">
        <v>270</v>
      </c>
      <c r="I147" t="s">
        <v>368</v>
      </c>
    </row>
    <row r="148" spans="1:9" hidden="1" x14ac:dyDescent="0.25">
      <c r="A148" t="s">
        <v>665</v>
      </c>
      <c r="B148" t="s">
        <v>666</v>
      </c>
      <c r="D148" t="s">
        <v>45</v>
      </c>
      <c r="E148" t="s">
        <v>603</v>
      </c>
      <c r="F148" t="s">
        <v>269</v>
      </c>
      <c r="G148" s="5">
        <v>92500</v>
      </c>
      <c r="H148" t="s">
        <v>270</v>
      </c>
      <c r="I148" t="s">
        <v>280</v>
      </c>
    </row>
    <row r="149" spans="1:9" hidden="1" x14ac:dyDescent="0.25">
      <c r="A149" t="s">
        <v>667</v>
      </c>
      <c r="B149" t="s">
        <v>668</v>
      </c>
      <c r="D149" t="s">
        <v>45</v>
      </c>
      <c r="E149" t="s">
        <v>603</v>
      </c>
      <c r="F149" t="s">
        <v>279</v>
      </c>
      <c r="G149" s="5">
        <v>69500</v>
      </c>
      <c r="H149" t="s">
        <v>270</v>
      </c>
      <c r="I149" t="s">
        <v>669</v>
      </c>
    </row>
    <row r="150" spans="1:9" hidden="1" x14ac:dyDescent="0.25">
      <c r="A150" t="s">
        <v>670</v>
      </c>
      <c r="B150" t="s">
        <v>671</v>
      </c>
      <c r="D150" t="s">
        <v>45</v>
      </c>
      <c r="E150" t="s">
        <v>600</v>
      </c>
      <c r="F150" t="s">
        <v>262</v>
      </c>
      <c r="G150" s="5">
        <v>78500</v>
      </c>
      <c r="H150" t="s">
        <v>270</v>
      </c>
      <c r="I150" t="s">
        <v>280</v>
      </c>
    </row>
    <row r="151" spans="1:9" hidden="1" x14ac:dyDescent="0.25">
      <c r="A151" t="s">
        <v>672</v>
      </c>
      <c r="B151" t="s">
        <v>673</v>
      </c>
      <c r="D151" t="s">
        <v>45</v>
      </c>
      <c r="E151" t="s">
        <v>603</v>
      </c>
      <c r="F151" t="s">
        <v>290</v>
      </c>
      <c r="G151" s="5">
        <v>128500</v>
      </c>
      <c r="H151" t="s">
        <v>270</v>
      </c>
      <c r="I151" t="s">
        <v>455</v>
      </c>
    </row>
    <row r="152" spans="1:9" hidden="1" x14ac:dyDescent="0.25">
      <c r="A152" t="s">
        <v>674</v>
      </c>
      <c r="B152" t="s">
        <v>675</v>
      </c>
      <c r="D152" t="s">
        <v>45</v>
      </c>
      <c r="E152" t="s">
        <v>606</v>
      </c>
      <c r="F152" t="s">
        <v>262</v>
      </c>
      <c r="G152" s="5">
        <v>88000</v>
      </c>
      <c r="H152" t="s">
        <v>270</v>
      </c>
      <c r="I152" t="s">
        <v>517</v>
      </c>
    </row>
    <row r="153" spans="1:9" hidden="1" x14ac:dyDescent="0.25">
      <c r="A153" t="s">
        <v>676</v>
      </c>
      <c r="B153" t="s">
        <v>677</v>
      </c>
      <c r="D153" t="s">
        <v>45</v>
      </c>
      <c r="E153" t="s">
        <v>600</v>
      </c>
      <c r="F153" t="s">
        <v>279</v>
      </c>
      <c r="G153" s="5">
        <v>66500</v>
      </c>
      <c r="H153" t="s">
        <v>270</v>
      </c>
      <c r="I153" t="s">
        <v>678</v>
      </c>
    </row>
    <row r="154" spans="1:9" hidden="1" x14ac:dyDescent="0.25">
      <c r="A154" t="s">
        <v>679</v>
      </c>
      <c r="B154" t="s">
        <v>680</v>
      </c>
      <c r="D154" t="s">
        <v>45</v>
      </c>
      <c r="E154" t="s">
        <v>600</v>
      </c>
      <c r="F154" t="s">
        <v>262</v>
      </c>
      <c r="G154" s="5">
        <v>93000</v>
      </c>
      <c r="H154" t="s">
        <v>270</v>
      </c>
      <c r="I154" t="s">
        <v>376</v>
      </c>
    </row>
    <row r="155" spans="1:9" hidden="1" x14ac:dyDescent="0.25">
      <c r="A155" t="s">
        <v>681</v>
      </c>
      <c r="B155" t="s">
        <v>682</v>
      </c>
      <c r="D155" t="s">
        <v>45</v>
      </c>
      <c r="E155" t="s">
        <v>600</v>
      </c>
      <c r="F155" t="s">
        <v>269</v>
      </c>
      <c r="G155" s="5">
        <v>108000</v>
      </c>
      <c r="H155" t="s">
        <v>270</v>
      </c>
      <c r="I155" t="s">
        <v>365</v>
      </c>
    </row>
    <row r="156" spans="1:9" hidden="1" x14ac:dyDescent="0.25">
      <c r="A156" t="s">
        <v>683</v>
      </c>
      <c r="B156" t="s">
        <v>684</v>
      </c>
      <c r="D156" t="s">
        <v>45</v>
      </c>
      <c r="E156" t="s">
        <v>603</v>
      </c>
      <c r="F156" t="s">
        <v>279</v>
      </c>
      <c r="G156" s="5">
        <v>65500</v>
      </c>
      <c r="H156" t="s">
        <v>270</v>
      </c>
      <c r="I156" t="s">
        <v>368</v>
      </c>
    </row>
    <row r="157" spans="1:9" hidden="1" x14ac:dyDescent="0.25">
      <c r="A157" t="s">
        <v>685</v>
      </c>
      <c r="B157" t="s">
        <v>686</v>
      </c>
      <c r="D157" t="s">
        <v>45</v>
      </c>
      <c r="E157" t="s">
        <v>600</v>
      </c>
      <c r="F157" t="s">
        <v>262</v>
      </c>
      <c r="G157" s="5">
        <v>83500</v>
      </c>
      <c r="H157" t="s">
        <v>270</v>
      </c>
      <c r="I157" t="s">
        <v>687</v>
      </c>
    </row>
    <row r="158" spans="1:9" x14ac:dyDescent="0.25">
      <c r="A158" t="s">
        <v>688</v>
      </c>
      <c r="B158" t="s">
        <v>689</v>
      </c>
      <c r="D158" t="s">
        <v>46</v>
      </c>
      <c r="E158" t="s">
        <v>690</v>
      </c>
      <c r="F158" t="s">
        <v>269</v>
      </c>
      <c r="G158" s="5">
        <v>179500</v>
      </c>
      <c r="H158" t="s">
        <v>270</v>
      </c>
      <c r="I158" t="s">
        <v>691</v>
      </c>
    </row>
    <row r="159" spans="1:9" x14ac:dyDescent="0.25">
      <c r="A159" t="s">
        <v>692</v>
      </c>
      <c r="B159" t="s">
        <v>693</v>
      </c>
      <c r="D159" t="s">
        <v>46</v>
      </c>
      <c r="E159" t="s">
        <v>694</v>
      </c>
      <c r="F159" t="s">
        <v>279</v>
      </c>
      <c r="G159" s="5">
        <v>119500</v>
      </c>
      <c r="H159" t="s">
        <v>270</v>
      </c>
      <c r="I159" t="s">
        <v>541</v>
      </c>
    </row>
    <row r="160" spans="1:9" x14ac:dyDescent="0.25">
      <c r="A160" t="s">
        <v>695</v>
      </c>
      <c r="B160" t="s">
        <v>565</v>
      </c>
      <c r="D160" t="s">
        <v>46</v>
      </c>
      <c r="E160" t="s">
        <v>696</v>
      </c>
      <c r="F160" t="s">
        <v>269</v>
      </c>
      <c r="G160" s="5">
        <v>158500</v>
      </c>
      <c r="H160" t="s">
        <v>270</v>
      </c>
      <c r="I160" t="s">
        <v>403</v>
      </c>
    </row>
    <row r="161" spans="1:9" x14ac:dyDescent="0.25">
      <c r="A161" t="s">
        <v>697</v>
      </c>
      <c r="B161" t="s">
        <v>698</v>
      </c>
      <c r="D161" t="s">
        <v>46</v>
      </c>
      <c r="E161" t="s">
        <v>699</v>
      </c>
      <c r="F161" t="s">
        <v>290</v>
      </c>
      <c r="G161" s="5">
        <v>206000</v>
      </c>
      <c r="H161" t="s">
        <v>270</v>
      </c>
      <c r="I161" t="s">
        <v>312</v>
      </c>
    </row>
    <row r="162" spans="1:9" x14ac:dyDescent="0.25">
      <c r="A162" t="s">
        <v>700</v>
      </c>
      <c r="B162" t="s">
        <v>701</v>
      </c>
      <c r="D162" t="s">
        <v>46</v>
      </c>
      <c r="E162" t="s">
        <v>702</v>
      </c>
      <c r="F162" t="s">
        <v>279</v>
      </c>
      <c r="G162" s="5">
        <v>122000</v>
      </c>
      <c r="H162" t="s">
        <v>270</v>
      </c>
      <c r="I162" t="s">
        <v>703</v>
      </c>
    </row>
    <row r="163" spans="1:9" x14ac:dyDescent="0.25">
      <c r="A163" t="s">
        <v>704</v>
      </c>
      <c r="B163" t="s">
        <v>705</v>
      </c>
      <c r="D163" t="s">
        <v>46</v>
      </c>
      <c r="E163" t="s">
        <v>690</v>
      </c>
      <c r="F163" t="s">
        <v>269</v>
      </c>
      <c r="G163" s="5">
        <v>176000</v>
      </c>
      <c r="H163" t="s">
        <v>270</v>
      </c>
      <c r="I163" t="s">
        <v>284</v>
      </c>
    </row>
    <row r="164" spans="1:9" x14ac:dyDescent="0.25">
      <c r="A164" t="s">
        <v>706</v>
      </c>
      <c r="B164" t="s">
        <v>707</v>
      </c>
      <c r="D164" t="s">
        <v>46</v>
      </c>
      <c r="E164" t="s">
        <v>696</v>
      </c>
      <c r="F164" t="s">
        <v>262</v>
      </c>
      <c r="G164" s="5">
        <v>155000</v>
      </c>
      <c r="H164" t="s">
        <v>270</v>
      </c>
      <c r="I164" t="s">
        <v>344</v>
      </c>
    </row>
    <row r="165" spans="1:9" x14ac:dyDescent="0.25">
      <c r="A165" t="s">
        <v>708</v>
      </c>
      <c r="B165" t="s">
        <v>709</v>
      </c>
      <c r="D165" t="s">
        <v>46</v>
      </c>
      <c r="E165" t="s">
        <v>694</v>
      </c>
      <c r="F165" t="s">
        <v>290</v>
      </c>
      <c r="G165" s="5">
        <v>197000</v>
      </c>
      <c r="H165" t="s">
        <v>270</v>
      </c>
      <c r="I165" t="s">
        <v>710</v>
      </c>
    </row>
    <row r="166" spans="1:9" x14ac:dyDescent="0.25">
      <c r="A166" t="s">
        <v>711</v>
      </c>
      <c r="B166" t="s">
        <v>712</v>
      </c>
      <c r="D166" t="s">
        <v>46</v>
      </c>
      <c r="E166" t="s">
        <v>702</v>
      </c>
      <c r="F166" t="s">
        <v>262</v>
      </c>
      <c r="G166" s="5">
        <v>148000</v>
      </c>
      <c r="H166" t="s">
        <v>270</v>
      </c>
      <c r="I166" t="s">
        <v>713</v>
      </c>
    </row>
    <row r="167" spans="1:9" x14ac:dyDescent="0.25">
      <c r="A167" t="s">
        <v>714</v>
      </c>
      <c r="B167" t="s">
        <v>715</v>
      </c>
      <c r="D167" t="s">
        <v>46</v>
      </c>
      <c r="E167" t="s">
        <v>690</v>
      </c>
      <c r="F167" t="s">
        <v>262</v>
      </c>
      <c r="G167" s="5">
        <v>136000</v>
      </c>
      <c r="H167" t="s">
        <v>270</v>
      </c>
      <c r="I167" t="s">
        <v>297</v>
      </c>
    </row>
    <row r="168" spans="1:9" x14ac:dyDescent="0.25">
      <c r="A168" t="s">
        <v>716</v>
      </c>
      <c r="B168" t="s">
        <v>599</v>
      </c>
      <c r="D168" t="s">
        <v>46</v>
      </c>
      <c r="E168" t="s">
        <v>717</v>
      </c>
      <c r="F168" t="s">
        <v>279</v>
      </c>
      <c r="G168" s="5">
        <v>126500</v>
      </c>
      <c r="H168" t="s">
        <v>270</v>
      </c>
      <c r="I168" t="s">
        <v>718</v>
      </c>
    </row>
    <row r="169" spans="1:9" x14ac:dyDescent="0.25">
      <c r="A169" t="s">
        <v>719</v>
      </c>
      <c r="B169" t="s">
        <v>720</v>
      </c>
      <c r="D169" t="s">
        <v>46</v>
      </c>
      <c r="E169" t="s">
        <v>690</v>
      </c>
      <c r="F169" t="s">
        <v>290</v>
      </c>
      <c r="G169" s="5">
        <v>209500</v>
      </c>
      <c r="H169" t="s">
        <v>270</v>
      </c>
      <c r="I169" t="s">
        <v>721</v>
      </c>
    </row>
    <row r="170" spans="1:9" x14ac:dyDescent="0.25">
      <c r="A170" t="s">
        <v>722</v>
      </c>
      <c r="B170" t="s">
        <v>723</v>
      </c>
      <c r="D170" t="s">
        <v>46</v>
      </c>
      <c r="E170" t="s">
        <v>699</v>
      </c>
      <c r="F170" t="s">
        <v>279</v>
      </c>
      <c r="G170" s="5">
        <v>114000</v>
      </c>
      <c r="H170" t="s">
        <v>270</v>
      </c>
      <c r="I170" t="s">
        <v>297</v>
      </c>
    </row>
    <row r="171" spans="1:9" x14ac:dyDescent="0.25">
      <c r="A171" t="s">
        <v>724</v>
      </c>
      <c r="B171" t="s">
        <v>725</v>
      </c>
      <c r="D171" t="s">
        <v>46</v>
      </c>
      <c r="E171" t="s">
        <v>694</v>
      </c>
      <c r="F171" t="s">
        <v>290</v>
      </c>
      <c r="G171" s="5">
        <v>218500</v>
      </c>
      <c r="H171" t="s">
        <v>270</v>
      </c>
      <c r="I171" t="s">
        <v>362</v>
      </c>
    </row>
    <row r="172" spans="1:9" x14ac:dyDescent="0.25">
      <c r="A172" t="s">
        <v>726</v>
      </c>
      <c r="B172" t="s">
        <v>534</v>
      </c>
      <c r="D172" t="s">
        <v>46</v>
      </c>
      <c r="E172" t="s">
        <v>699</v>
      </c>
      <c r="F172" t="s">
        <v>269</v>
      </c>
      <c r="G172" s="5">
        <v>164000</v>
      </c>
      <c r="H172" t="s">
        <v>270</v>
      </c>
      <c r="I172" t="s">
        <v>626</v>
      </c>
    </row>
    <row r="173" spans="1:9" x14ac:dyDescent="0.25">
      <c r="A173" t="s">
        <v>727</v>
      </c>
      <c r="B173" t="s">
        <v>728</v>
      </c>
      <c r="D173" t="s">
        <v>46</v>
      </c>
      <c r="E173" t="s">
        <v>694</v>
      </c>
      <c r="F173" t="s">
        <v>269</v>
      </c>
      <c r="G173" s="5">
        <v>160000</v>
      </c>
      <c r="H173" t="s">
        <v>270</v>
      </c>
      <c r="I173" t="s">
        <v>729</v>
      </c>
    </row>
    <row r="174" spans="1:9" x14ac:dyDescent="0.25">
      <c r="A174" t="s">
        <v>730</v>
      </c>
      <c r="B174" t="s">
        <v>731</v>
      </c>
      <c r="D174" t="s">
        <v>46</v>
      </c>
      <c r="E174" t="s">
        <v>694</v>
      </c>
      <c r="F174" t="s">
        <v>262</v>
      </c>
      <c r="G174" s="5">
        <v>155000</v>
      </c>
      <c r="H174" t="s">
        <v>270</v>
      </c>
      <c r="I174" t="s">
        <v>732</v>
      </c>
    </row>
    <row r="175" spans="1:9" x14ac:dyDescent="0.25">
      <c r="A175" t="s">
        <v>733</v>
      </c>
      <c r="B175" t="s">
        <v>734</v>
      </c>
      <c r="D175" t="s">
        <v>46</v>
      </c>
      <c r="E175" t="s">
        <v>717</v>
      </c>
      <c r="F175" t="s">
        <v>262</v>
      </c>
      <c r="G175" s="5">
        <v>153000</v>
      </c>
      <c r="H175" t="s">
        <v>270</v>
      </c>
      <c r="I175" t="s">
        <v>384</v>
      </c>
    </row>
    <row r="176" spans="1:9" x14ac:dyDescent="0.25">
      <c r="A176" t="s">
        <v>735</v>
      </c>
      <c r="B176" t="s">
        <v>736</v>
      </c>
      <c r="D176" t="s">
        <v>46</v>
      </c>
      <c r="E176" t="s">
        <v>702</v>
      </c>
      <c r="F176" t="s">
        <v>262</v>
      </c>
      <c r="G176" s="5">
        <v>146000</v>
      </c>
      <c r="H176" t="s">
        <v>270</v>
      </c>
      <c r="I176" t="s">
        <v>291</v>
      </c>
    </row>
    <row r="177" spans="1:9" x14ac:dyDescent="0.25">
      <c r="A177" t="s">
        <v>737</v>
      </c>
      <c r="B177" t="s">
        <v>738</v>
      </c>
      <c r="D177" t="s">
        <v>46</v>
      </c>
      <c r="E177" t="s">
        <v>717</v>
      </c>
      <c r="F177" t="s">
        <v>279</v>
      </c>
      <c r="G177" s="5">
        <v>130500</v>
      </c>
      <c r="H177" t="s">
        <v>270</v>
      </c>
      <c r="I177" t="s">
        <v>739</v>
      </c>
    </row>
    <row r="178" spans="1:9" x14ac:dyDescent="0.25">
      <c r="A178" t="s">
        <v>740</v>
      </c>
      <c r="B178" t="s">
        <v>741</v>
      </c>
      <c r="D178" t="s">
        <v>46</v>
      </c>
      <c r="E178" t="s">
        <v>690</v>
      </c>
      <c r="F178" t="s">
        <v>279</v>
      </c>
      <c r="G178" s="5">
        <v>128000</v>
      </c>
      <c r="H178" t="s">
        <v>270</v>
      </c>
      <c r="I178" t="s">
        <v>569</v>
      </c>
    </row>
    <row r="179" spans="1:9" x14ac:dyDescent="0.25">
      <c r="A179" t="s">
        <v>742</v>
      </c>
      <c r="B179" t="s">
        <v>743</v>
      </c>
      <c r="D179" t="s">
        <v>46</v>
      </c>
      <c r="E179" t="s">
        <v>699</v>
      </c>
      <c r="F179" t="s">
        <v>262</v>
      </c>
      <c r="G179" s="5">
        <v>140000</v>
      </c>
      <c r="H179" t="s">
        <v>270</v>
      </c>
      <c r="I179" t="s">
        <v>744</v>
      </c>
    </row>
    <row r="180" spans="1:9" x14ac:dyDescent="0.25">
      <c r="A180" t="s">
        <v>745</v>
      </c>
      <c r="B180" t="s">
        <v>746</v>
      </c>
      <c r="D180" t="s">
        <v>46</v>
      </c>
      <c r="E180" t="s">
        <v>696</v>
      </c>
      <c r="F180" t="s">
        <v>262</v>
      </c>
      <c r="G180" s="5">
        <v>132000</v>
      </c>
      <c r="H180" t="s">
        <v>270</v>
      </c>
      <c r="I180" t="s">
        <v>703</v>
      </c>
    </row>
    <row r="181" spans="1:9" x14ac:dyDescent="0.25">
      <c r="A181" t="s">
        <v>747</v>
      </c>
      <c r="B181" t="s">
        <v>748</v>
      </c>
      <c r="D181" t="s">
        <v>46</v>
      </c>
      <c r="E181" t="s">
        <v>690</v>
      </c>
      <c r="F181" t="s">
        <v>269</v>
      </c>
      <c r="G181" s="5">
        <v>179000</v>
      </c>
      <c r="H181" t="s">
        <v>270</v>
      </c>
      <c r="I181" t="s">
        <v>749</v>
      </c>
    </row>
    <row r="182" spans="1:9" x14ac:dyDescent="0.25">
      <c r="A182" t="s">
        <v>750</v>
      </c>
      <c r="B182" t="s">
        <v>751</v>
      </c>
      <c r="D182" t="s">
        <v>46</v>
      </c>
      <c r="E182" t="s">
        <v>717</v>
      </c>
      <c r="F182" t="s">
        <v>269</v>
      </c>
      <c r="G182" s="5">
        <v>156500</v>
      </c>
      <c r="H182" t="s">
        <v>270</v>
      </c>
      <c r="I182" t="s">
        <v>752</v>
      </c>
    </row>
    <row r="183" spans="1:9" x14ac:dyDescent="0.25">
      <c r="A183" t="s">
        <v>753</v>
      </c>
      <c r="B183" t="s">
        <v>754</v>
      </c>
      <c r="D183" t="s">
        <v>46</v>
      </c>
      <c r="E183" t="s">
        <v>755</v>
      </c>
      <c r="F183" t="s">
        <v>262</v>
      </c>
      <c r="G183" s="5">
        <v>157000</v>
      </c>
      <c r="H183" t="s">
        <v>270</v>
      </c>
      <c r="I183" t="s">
        <v>756</v>
      </c>
    </row>
    <row r="184" spans="1:9" x14ac:dyDescent="0.25">
      <c r="A184" t="s">
        <v>757</v>
      </c>
      <c r="B184" t="s">
        <v>758</v>
      </c>
      <c r="D184" t="s">
        <v>46</v>
      </c>
      <c r="E184" t="s">
        <v>702</v>
      </c>
      <c r="F184" t="s">
        <v>269</v>
      </c>
      <c r="G184" s="5">
        <v>180000</v>
      </c>
      <c r="H184" t="s">
        <v>270</v>
      </c>
      <c r="I184" t="s">
        <v>759</v>
      </c>
    </row>
    <row r="185" spans="1:9" x14ac:dyDescent="0.25">
      <c r="A185" t="s">
        <v>760</v>
      </c>
      <c r="B185" t="s">
        <v>761</v>
      </c>
      <c r="D185" t="s">
        <v>46</v>
      </c>
      <c r="E185" t="s">
        <v>696</v>
      </c>
      <c r="F185" t="s">
        <v>274</v>
      </c>
      <c r="G185" s="5">
        <v>231500</v>
      </c>
      <c r="H185" t="s">
        <v>270</v>
      </c>
      <c r="I185" t="s">
        <v>381</v>
      </c>
    </row>
    <row r="186" spans="1:9" x14ac:dyDescent="0.25">
      <c r="A186" t="s">
        <v>762</v>
      </c>
      <c r="B186" t="s">
        <v>763</v>
      </c>
      <c r="D186" t="s">
        <v>46</v>
      </c>
      <c r="E186" t="s">
        <v>702</v>
      </c>
      <c r="F186" t="s">
        <v>269</v>
      </c>
      <c r="G186" s="5">
        <v>162000</v>
      </c>
      <c r="H186" t="s">
        <v>270</v>
      </c>
      <c r="I186" t="s">
        <v>764</v>
      </c>
    </row>
    <row r="187" spans="1:9" x14ac:dyDescent="0.25">
      <c r="A187" t="s">
        <v>765</v>
      </c>
      <c r="B187" t="s">
        <v>766</v>
      </c>
      <c r="D187" t="s">
        <v>46</v>
      </c>
      <c r="E187" t="s">
        <v>755</v>
      </c>
      <c r="F187" t="s">
        <v>262</v>
      </c>
      <c r="G187" s="5">
        <v>131000</v>
      </c>
      <c r="H187" t="s">
        <v>270</v>
      </c>
      <c r="I187" t="s">
        <v>767</v>
      </c>
    </row>
    <row r="188" spans="1:9" x14ac:dyDescent="0.25">
      <c r="A188" t="s">
        <v>768</v>
      </c>
      <c r="B188" t="s">
        <v>769</v>
      </c>
      <c r="D188" t="s">
        <v>46</v>
      </c>
      <c r="E188" t="s">
        <v>717</v>
      </c>
      <c r="F188" t="s">
        <v>269</v>
      </c>
      <c r="G188" s="5">
        <v>175500</v>
      </c>
      <c r="H188" t="s">
        <v>270</v>
      </c>
      <c r="I188" t="s">
        <v>770</v>
      </c>
    </row>
    <row r="189" spans="1:9" x14ac:dyDescent="0.25">
      <c r="A189" t="s">
        <v>771</v>
      </c>
      <c r="B189" t="s">
        <v>772</v>
      </c>
      <c r="D189" t="s">
        <v>46</v>
      </c>
      <c r="E189" t="s">
        <v>717</v>
      </c>
      <c r="F189" t="s">
        <v>262</v>
      </c>
      <c r="G189" s="5">
        <v>153500</v>
      </c>
      <c r="H189" t="s">
        <v>270</v>
      </c>
      <c r="I189" t="s">
        <v>691</v>
      </c>
    </row>
    <row r="190" spans="1:9" x14ac:dyDescent="0.25">
      <c r="A190" t="s">
        <v>773</v>
      </c>
      <c r="B190" t="s">
        <v>774</v>
      </c>
      <c r="D190" t="s">
        <v>46</v>
      </c>
      <c r="E190" t="s">
        <v>699</v>
      </c>
      <c r="F190" t="s">
        <v>290</v>
      </c>
      <c r="G190" s="5">
        <v>215500</v>
      </c>
      <c r="H190" t="s">
        <v>270</v>
      </c>
      <c r="I190" t="s">
        <v>490</v>
      </c>
    </row>
    <row r="191" spans="1:9" x14ac:dyDescent="0.25">
      <c r="A191" t="s">
        <v>775</v>
      </c>
      <c r="B191" t="s">
        <v>776</v>
      </c>
      <c r="D191" t="s">
        <v>46</v>
      </c>
      <c r="E191" t="s">
        <v>702</v>
      </c>
      <c r="F191" t="s">
        <v>279</v>
      </c>
      <c r="G191" s="5">
        <v>123500</v>
      </c>
      <c r="H191" t="s">
        <v>270</v>
      </c>
      <c r="I191" t="s">
        <v>744</v>
      </c>
    </row>
    <row r="192" spans="1:9" x14ac:dyDescent="0.25">
      <c r="A192" t="s">
        <v>777</v>
      </c>
      <c r="B192" t="s">
        <v>778</v>
      </c>
      <c r="D192" t="s">
        <v>46</v>
      </c>
      <c r="E192" t="s">
        <v>690</v>
      </c>
      <c r="F192" t="s">
        <v>269</v>
      </c>
      <c r="G192" s="5">
        <v>169500</v>
      </c>
      <c r="H192" t="s">
        <v>270</v>
      </c>
      <c r="I192" t="s">
        <v>662</v>
      </c>
    </row>
    <row r="193" spans="1:9" x14ac:dyDescent="0.25">
      <c r="A193" t="s">
        <v>779</v>
      </c>
      <c r="B193" t="s">
        <v>780</v>
      </c>
      <c r="D193" t="s">
        <v>46</v>
      </c>
      <c r="E193" t="s">
        <v>755</v>
      </c>
      <c r="F193" t="s">
        <v>262</v>
      </c>
      <c r="G193" s="5">
        <v>150000</v>
      </c>
      <c r="H193" t="s">
        <v>270</v>
      </c>
      <c r="I193" t="s">
        <v>324</v>
      </c>
    </row>
    <row r="194" spans="1:9" x14ac:dyDescent="0.25">
      <c r="A194" t="s">
        <v>781</v>
      </c>
      <c r="B194" t="s">
        <v>782</v>
      </c>
      <c r="D194" t="s">
        <v>46</v>
      </c>
      <c r="E194" t="s">
        <v>755</v>
      </c>
      <c r="F194" t="s">
        <v>279</v>
      </c>
      <c r="G194" s="5">
        <v>119000</v>
      </c>
      <c r="H194" t="s">
        <v>270</v>
      </c>
      <c r="I194" t="s">
        <v>476</v>
      </c>
    </row>
    <row r="195" spans="1:9" x14ac:dyDescent="0.25">
      <c r="A195" t="s">
        <v>783</v>
      </c>
      <c r="B195" t="s">
        <v>308</v>
      </c>
      <c r="D195" t="s">
        <v>46</v>
      </c>
      <c r="E195" t="s">
        <v>690</v>
      </c>
      <c r="F195" t="s">
        <v>279</v>
      </c>
      <c r="G195" s="5">
        <v>130000</v>
      </c>
      <c r="H195" t="s">
        <v>270</v>
      </c>
      <c r="I195" t="s">
        <v>582</v>
      </c>
    </row>
    <row r="196" spans="1:9" x14ac:dyDescent="0.25">
      <c r="A196" t="s">
        <v>784</v>
      </c>
      <c r="B196" t="s">
        <v>483</v>
      </c>
      <c r="D196" t="s">
        <v>46</v>
      </c>
      <c r="E196" t="s">
        <v>699</v>
      </c>
      <c r="F196" t="s">
        <v>418</v>
      </c>
      <c r="G196" s="5">
        <v>297500</v>
      </c>
      <c r="H196" t="s">
        <v>270</v>
      </c>
      <c r="I196" t="s">
        <v>785</v>
      </c>
    </row>
    <row r="197" spans="1:9" x14ac:dyDescent="0.25">
      <c r="A197" t="s">
        <v>786</v>
      </c>
      <c r="B197" t="s">
        <v>267</v>
      </c>
      <c r="D197" t="s">
        <v>46</v>
      </c>
      <c r="E197" t="s">
        <v>696</v>
      </c>
      <c r="F197" t="s">
        <v>279</v>
      </c>
      <c r="G197" s="5">
        <v>121500</v>
      </c>
      <c r="H197" t="s">
        <v>270</v>
      </c>
      <c r="I197" t="s">
        <v>678</v>
      </c>
    </row>
    <row r="198" spans="1:9" x14ac:dyDescent="0.25">
      <c r="A198" t="s">
        <v>787</v>
      </c>
      <c r="B198" t="s">
        <v>513</v>
      </c>
      <c r="D198" t="s">
        <v>46</v>
      </c>
      <c r="E198" t="s">
        <v>696</v>
      </c>
      <c r="F198" t="s">
        <v>279</v>
      </c>
      <c r="G198" s="5">
        <v>128500</v>
      </c>
      <c r="H198" t="s">
        <v>270</v>
      </c>
      <c r="I198" t="s">
        <v>788</v>
      </c>
    </row>
    <row r="199" spans="1:9" x14ac:dyDescent="0.25">
      <c r="A199" t="s">
        <v>789</v>
      </c>
      <c r="B199" t="s">
        <v>790</v>
      </c>
      <c r="D199" t="s">
        <v>46</v>
      </c>
      <c r="E199" t="s">
        <v>755</v>
      </c>
      <c r="F199" t="s">
        <v>290</v>
      </c>
      <c r="G199" s="5">
        <v>185500</v>
      </c>
      <c r="H199" t="s">
        <v>270</v>
      </c>
      <c r="I199" t="s">
        <v>306</v>
      </c>
    </row>
    <row r="200" spans="1:9" x14ac:dyDescent="0.25">
      <c r="A200" t="s">
        <v>791</v>
      </c>
      <c r="B200" t="s">
        <v>792</v>
      </c>
      <c r="D200" t="s">
        <v>46</v>
      </c>
      <c r="E200" t="s">
        <v>696</v>
      </c>
      <c r="F200" t="s">
        <v>279</v>
      </c>
      <c r="G200" s="5">
        <v>129000</v>
      </c>
      <c r="H200" t="s">
        <v>270</v>
      </c>
      <c r="I200" t="s">
        <v>623</v>
      </c>
    </row>
    <row r="201" spans="1:9" x14ac:dyDescent="0.25">
      <c r="A201" t="s">
        <v>793</v>
      </c>
      <c r="B201" t="s">
        <v>794</v>
      </c>
      <c r="D201" t="s">
        <v>46</v>
      </c>
      <c r="E201" t="s">
        <v>690</v>
      </c>
      <c r="F201" t="s">
        <v>290</v>
      </c>
      <c r="G201" s="5">
        <v>193000</v>
      </c>
      <c r="H201" t="s">
        <v>270</v>
      </c>
      <c r="I201" t="s">
        <v>306</v>
      </c>
    </row>
    <row r="202" spans="1:9" x14ac:dyDescent="0.25">
      <c r="A202" t="s">
        <v>795</v>
      </c>
      <c r="B202" t="s">
        <v>796</v>
      </c>
      <c r="D202" t="s">
        <v>46</v>
      </c>
      <c r="E202" t="s">
        <v>694</v>
      </c>
      <c r="F202" t="s">
        <v>269</v>
      </c>
      <c r="G202" s="5">
        <v>168500</v>
      </c>
      <c r="H202" t="s">
        <v>270</v>
      </c>
      <c r="I202" t="s">
        <v>785</v>
      </c>
    </row>
    <row r="203" spans="1:9" x14ac:dyDescent="0.25">
      <c r="A203" t="s">
        <v>797</v>
      </c>
      <c r="B203" t="s">
        <v>798</v>
      </c>
      <c r="D203" t="s">
        <v>46</v>
      </c>
      <c r="E203" t="s">
        <v>702</v>
      </c>
      <c r="F203" t="s">
        <v>262</v>
      </c>
      <c r="G203" s="5">
        <v>135500</v>
      </c>
      <c r="H203" t="s">
        <v>270</v>
      </c>
      <c r="I203" t="s">
        <v>799</v>
      </c>
    </row>
    <row r="204" spans="1:9" x14ac:dyDescent="0.25">
      <c r="A204" t="s">
        <v>800</v>
      </c>
      <c r="B204" t="s">
        <v>801</v>
      </c>
      <c r="D204" t="s">
        <v>46</v>
      </c>
      <c r="E204" t="s">
        <v>696</v>
      </c>
      <c r="F204" t="s">
        <v>279</v>
      </c>
      <c r="G204" s="5">
        <v>122500</v>
      </c>
      <c r="H204" t="s">
        <v>270</v>
      </c>
      <c r="I204" t="s">
        <v>802</v>
      </c>
    </row>
    <row r="205" spans="1:9" x14ac:dyDescent="0.25">
      <c r="A205" t="s">
        <v>803</v>
      </c>
      <c r="B205" t="s">
        <v>804</v>
      </c>
      <c r="D205" t="s">
        <v>46</v>
      </c>
      <c r="E205" t="s">
        <v>755</v>
      </c>
      <c r="F205" t="s">
        <v>279</v>
      </c>
      <c r="G205" s="5">
        <v>113500</v>
      </c>
      <c r="H205" t="s">
        <v>270</v>
      </c>
      <c r="I205" t="s">
        <v>545</v>
      </c>
    </row>
    <row r="206" spans="1:9" x14ac:dyDescent="0.25">
      <c r="A206" t="s">
        <v>805</v>
      </c>
      <c r="B206" t="s">
        <v>806</v>
      </c>
      <c r="D206" t="s">
        <v>46</v>
      </c>
      <c r="E206" t="s">
        <v>696</v>
      </c>
      <c r="F206" t="s">
        <v>279</v>
      </c>
      <c r="G206" s="5">
        <v>131000</v>
      </c>
      <c r="H206" t="s">
        <v>270</v>
      </c>
      <c r="I206" t="s">
        <v>807</v>
      </c>
    </row>
    <row r="207" spans="1:9" x14ac:dyDescent="0.25">
      <c r="A207" t="s">
        <v>808</v>
      </c>
      <c r="B207" t="s">
        <v>809</v>
      </c>
      <c r="D207" t="s">
        <v>46</v>
      </c>
      <c r="E207" t="s">
        <v>717</v>
      </c>
      <c r="F207" t="s">
        <v>279</v>
      </c>
      <c r="G207" s="5">
        <v>117000</v>
      </c>
      <c r="H207" t="s">
        <v>270</v>
      </c>
      <c r="I207" t="s">
        <v>438</v>
      </c>
    </row>
    <row r="208" spans="1:9" x14ac:dyDescent="0.25">
      <c r="A208" t="s">
        <v>810</v>
      </c>
      <c r="B208" t="s">
        <v>811</v>
      </c>
      <c r="D208" t="s">
        <v>46</v>
      </c>
      <c r="E208" t="s">
        <v>717</v>
      </c>
      <c r="F208" t="s">
        <v>290</v>
      </c>
      <c r="G208" s="5">
        <v>200000</v>
      </c>
      <c r="H208" t="s">
        <v>270</v>
      </c>
      <c r="I208" t="s">
        <v>545</v>
      </c>
    </row>
    <row r="209" spans="1:9" x14ac:dyDescent="0.25">
      <c r="A209" t="s">
        <v>812</v>
      </c>
      <c r="B209" t="s">
        <v>610</v>
      </c>
      <c r="D209" t="s">
        <v>46</v>
      </c>
      <c r="E209" t="s">
        <v>717</v>
      </c>
      <c r="F209" t="s">
        <v>290</v>
      </c>
      <c r="G209" s="5">
        <v>198500</v>
      </c>
      <c r="H209" t="s">
        <v>270</v>
      </c>
      <c r="I209" t="s">
        <v>799</v>
      </c>
    </row>
    <row r="210" spans="1:9" x14ac:dyDescent="0.25">
      <c r="A210" t="s">
        <v>813</v>
      </c>
      <c r="B210" t="s">
        <v>814</v>
      </c>
      <c r="D210" t="s">
        <v>46</v>
      </c>
      <c r="E210" t="s">
        <v>717</v>
      </c>
      <c r="F210" t="s">
        <v>262</v>
      </c>
      <c r="G210" s="5">
        <v>148000</v>
      </c>
      <c r="H210" t="s">
        <v>270</v>
      </c>
      <c r="I210" t="s">
        <v>476</v>
      </c>
    </row>
    <row r="211" spans="1:9" x14ac:dyDescent="0.25">
      <c r="A211" t="s">
        <v>815</v>
      </c>
      <c r="B211" t="s">
        <v>355</v>
      </c>
      <c r="D211" t="s">
        <v>46</v>
      </c>
      <c r="E211" t="s">
        <v>717</v>
      </c>
      <c r="F211" t="s">
        <v>262</v>
      </c>
      <c r="G211" s="5">
        <v>157000</v>
      </c>
      <c r="H211" t="s">
        <v>270</v>
      </c>
      <c r="I211" t="s">
        <v>807</v>
      </c>
    </row>
    <row r="212" spans="1:9" x14ac:dyDescent="0.25">
      <c r="A212" t="s">
        <v>816</v>
      </c>
      <c r="B212" t="s">
        <v>817</v>
      </c>
      <c r="D212" t="s">
        <v>46</v>
      </c>
      <c r="E212" t="s">
        <v>755</v>
      </c>
      <c r="F212" t="s">
        <v>418</v>
      </c>
      <c r="G212" s="5">
        <v>293500</v>
      </c>
      <c r="H212" t="s">
        <v>270</v>
      </c>
      <c r="I212" t="s">
        <v>818</v>
      </c>
    </row>
    <row r="213" spans="1:9" x14ac:dyDescent="0.25">
      <c r="A213" t="s">
        <v>819</v>
      </c>
      <c r="B213" t="s">
        <v>820</v>
      </c>
      <c r="D213" t="s">
        <v>46</v>
      </c>
      <c r="E213" t="s">
        <v>696</v>
      </c>
      <c r="F213" t="s">
        <v>279</v>
      </c>
      <c r="G213" s="5">
        <v>127500</v>
      </c>
      <c r="H213" t="s">
        <v>270</v>
      </c>
      <c r="I213" t="s">
        <v>541</v>
      </c>
    </row>
    <row r="214" spans="1:9" x14ac:dyDescent="0.25">
      <c r="A214" t="s">
        <v>821</v>
      </c>
      <c r="B214" t="s">
        <v>822</v>
      </c>
      <c r="D214" t="s">
        <v>46</v>
      </c>
      <c r="E214" t="s">
        <v>717</v>
      </c>
      <c r="F214" t="s">
        <v>262</v>
      </c>
      <c r="G214" s="5">
        <v>136000</v>
      </c>
      <c r="H214" t="s">
        <v>270</v>
      </c>
      <c r="I214" t="s">
        <v>306</v>
      </c>
    </row>
    <row r="215" spans="1:9" x14ac:dyDescent="0.25">
      <c r="A215" t="s">
        <v>823</v>
      </c>
      <c r="B215" t="s">
        <v>824</v>
      </c>
      <c r="D215" t="s">
        <v>46</v>
      </c>
      <c r="E215" t="s">
        <v>690</v>
      </c>
      <c r="F215" t="s">
        <v>262</v>
      </c>
      <c r="G215" s="5">
        <v>136000</v>
      </c>
      <c r="H215" t="s">
        <v>270</v>
      </c>
      <c r="I215" t="s">
        <v>825</v>
      </c>
    </row>
    <row r="216" spans="1:9" x14ac:dyDescent="0.25">
      <c r="A216" t="s">
        <v>826</v>
      </c>
      <c r="B216" t="s">
        <v>743</v>
      </c>
      <c r="D216" t="s">
        <v>46</v>
      </c>
      <c r="E216" t="s">
        <v>755</v>
      </c>
      <c r="F216" t="s">
        <v>269</v>
      </c>
      <c r="G216" s="5">
        <v>185000</v>
      </c>
      <c r="H216" t="s">
        <v>270</v>
      </c>
      <c r="I216" t="s">
        <v>569</v>
      </c>
    </row>
    <row r="217" spans="1:9" x14ac:dyDescent="0.25">
      <c r="A217" t="s">
        <v>827</v>
      </c>
      <c r="B217" t="s">
        <v>828</v>
      </c>
      <c r="D217" t="s">
        <v>46</v>
      </c>
      <c r="E217" t="s">
        <v>755</v>
      </c>
      <c r="F217" t="s">
        <v>418</v>
      </c>
      <c r="G217" s="5">
        <v>319500</v>
      </c>
      <c r="H217" t="s">
        <v>270</v>
      </c>
      <c r="I217" t="s">
        <v>829</v>
      </c>
    </row>
    <row r="218" spans="1:9" x14ac:dyDescent="0.25">
      <c r="A218" t="s">
        <v>830</v>
      </c>
      <c r="B218" t="s">
        <v>831</v>
      </c>
      <c r="D218" t="s">
        <v>46</v>
      </c>
      <c r="E218" t="s">
        <v>696</v>
      </c>
      <c r="F218" t="s">
        <v>274</v>
      </c>
      <c r="G218" s="5">
        <v>240500</v>
      </c>
      <c r="H218" t="s">
        <v>270</v>
      </c>
      <c r="I218" t="s">
        <v>344</v>
      </c>
    </row>
    <row r="219" spans="1:9" x14ac:dyDescent="0.25">
      <c r="A219" t="s">
        <v>832</v>
      </c>
      <c r="B219" t="s">
        <v>774</v>
      </c>
      <c r="D219" t="s">
        <v>46</v>
      </c>
      <c r="E219" t="s">
        <v>694</v>
      </c>
      <c r="F219" t="s">
        <v>269</v>
      </c>
      <c r="G219" s="5">
        <v>183000</v>
      </c>
      <c r="H219" t="s">
        <v>270</v>
      </c>
      <c r="I219" t="s">
        <v>833</v>
      </c>
    </row>
    <row r="220" spans="1:9" x14ac:dyDescent="0.25">
      <c r="A220" t="s">
        <v>834</v>
      </c>
      <c r="B220" t="s">
        <v>835</v>
      </c>
      <c r="D220" t="s">
        <v>46</v>
      </c>
      <c r="E220" t="s">
        <v>690</v>
      </c>
      <c r="F220" t="s">
        <v>279</v>
      </c>
      <c r="G220" s="5">
        <v>114500</v>
      </c>
      <c r="H220" t="s">
        <v>270</v>
      </c>
      <c r="I220" t="s">
        <v>836</v>
      </c>
    </row>
    <row r="221" spans="1:9" x14ac:dyDescent="0.25">
      <c r="A221" t="s">
        <v>837</v>
      </c>
      <c r="B221" t="s">
        <v>590</v>
      </c>
      <c r="D221" t="s">
        <v>46</v>
      </c>
      <c r="E221" t="s">
        <v>699</v>
      </c>
      <c r="F221" t="s">
        <v>269</v>
      </c>
      <c r="G221" s="5">
        <v>178000</v>
      </c>
      <c r="H221" t="s">
        <v>270</v>
      </c>
      <c r="I221" t="s">
        <v>756</v>
      </c>
    </row>
    <row r="222" spans="1:9" x14ac:dyDescent="0.25">
      <c r="A222" t="s">
        <v>838</v>
      </c>
      <c r="B222" t="s">
        <v>839</v>
      </c>
      <c r="D222" t="s">
        <v>46</v>
      </c>
      <c r="E222" t="s">
        <v>690</v>
      </c>
      <c r="F222" t="s">
        <v>279</v>
      </c>
      <c r="G222" s="5">
        <v>122500</v>
      </c>
      <c r="H222" t="s">
        <v>270</v>
      </c>
      <c r="I222" t="s">
        <v>840</v>
      </c>
    </row>
    <row r="223" spans="1:9" x14ac:dyDescent="0.25">
      <c r="A223" t="s">
        <v>841</v>
      </c>
      <c r="B223" t="s">
        <v>842</v>
      </c>
      <c r="D223" t="s">
        <v>46</v>
      </c>
      <c r="E223" t="s">
        <v>699</v>
      </c>
      <c r="F223" t="s">
        <v>262</v>
      </c>
      <c r="G223" s="5">
        <v>138000</v>
      </c>
      <c r="H223" t="s">
        <v>270</v>
      </c>
      <c r="I223" t="s">
        <v>829</v>
      </c>
    </row>
    <row r="224" spans="1:9" x14ac:dyDescent="0.25">
      <c r="A224" t="s">
        <v>843</v>
      </c>
      <c r="B224" t="s">
        <v>844</v>
      </c>
      <c r="D224" t="s">
        <v>46</v>
      </c>
      <c r="E224" t="s">
        <v>702</v>
      </c>
      <c r="F224" t="s">
        <v>290</v>
      </c>
      <c r="G224" s="5">
        <v>221500</v>
      </c>
      <c r="H224" t="s">
        <v>270</v>
      </c>
      <c r="I224" t="s">
        <v>559</v>
      </c>
    </row>
    <row r="225" spans="1:10" x14ac:dyDescent="0.25">
      <c r="A225" t="s">
        <v>845</v>
      </c>
      <c r="B225" t="s">
        <v>846</v>
      </c>
      <c r="D225" t="s">
        <v>46</v>
      </c>
      <c r="E225" t="s">
        <v>699</v>
      </c>
      <c r="F225" t="s">
        <v>262</v>
      </c>
      <c r="G225" s="5">
        <v>142500</v>
      </c>
      <c r="H225" t="s">
        <v>270</v>
      </c>
      <c r="I225" t="s">
        <v>847</v>
      </c>
    </row>
    <row r="226" spans="1:10" x14ac:dyDescent="0.25">
      <c r="A226" t="s">
        <v>848</v>
      </c>
      <c r="B226" t="s">
        <v>849</v>
      </c>
      <c r="D226" t="s">
        <v>46</v>
      </c>
      <c r="E226" t="s">
        <v>755</v>
      </c>
      <c r="F226" t="s">
        <v>262</v>
      </c>
      <c r="G226" s="5">
        <v>139500</v>
      </c>
      <c r="H226" t="s">
        <v>270</v>
      </c>
      <c r="I226" t="s">
        <v>653</v>
      </c>
    </row>
    <row r="227" spans="1:10" x14ac:dyDescent="0.25">
      <c r="A227" t="s">
        <v>850</v>
      </c>
      <c r="B227" t="s">
        <v>851</v>
      </c>
      <c r="D227" t="s">
        <v>46</v>
      </c>
      <c r="E227" t="s">
        <v>717</v>
      </c>
      <c r="F227" t="s">
        <v>269</v>
      </c>
      <c r="G227" s="5">
        <v>161000</v>
      </c>
      <c r="H227" t="s">
        <v>263</v>
      </c>
      <c r="I227" t="s">
        <v>852</v>
      </c>
      <c r="J227" t="s">
        <v>612</v>
      </c>
    </row>
    <row r="228" spans="1:10" x14ac:dyDescent="0.25">
      <c r="A228" t="s">
        <v>853</v>
      </c>
      <c r="B228" t="s">
        <v>854</v>
      </c>
      <c r="D228" t="s">
        <v>46</v>
      </c>
      <c r="E228" t="s">
        <v>694</v>
      </c>
      <c r="F228" t="s">
        <v>262</v>
      </c>
      <c r="G228" s="5">
        <v>137500</v>
      </c>
      <c r="H228" t="s">
        <v>270</v>
      </c>
      <c r="I228" t="s">
        <v>306</v>
      </c>
    </row>
    <row r="229" spans="1:10" x14ac:dyDescent="0.25">
      <c r="A229" t="s">
        <v>855</v>
      </c>
      <c r="B229" t="s">
        <v>856</v>
      </c>
      <c r="D229" t="s">
        <v>46</v>
      </c>
      <c r="E229" t="s">
        <v>696</v>
      </c>
      <c r="F229" t="s">
        <v>262</v>
      </c>
      <c r="G229" s="5">
        <v>142000</v>
      </c>
      <c r="H229" t="s">
        <v>270</v>
      </c>
      <c r="I229" t="s">
        <v>481</v>
      </c>
    </row>
    <row r="230" spans="1:10" x14ac:dyDescent="0.25">
      <c r="A230" t="s">
        <v>857</v>
      </c>
      <c r="B230" t="s">
        <v>858</v>
      </c>
      <c r="D230" t="s">
        <v>46</v>
      </c>
      <c r="E230" t="s">
        <v>699</v>
      </c>
      <c r="F230" t="s">
        <v>279</v>
      </c>
      <c r="G230" s="5">
        <v>117500</v>
      </c>
      <c r="H230" t="s">
        <v>270</v>
      </c>
      <c r="I230" t="s">
        <v>859</v>
      </c>
    </row>
    <row r="231" spans="1:10" x14ac:dyDescent="0.25">
      <c r="A231" t="s">
        <v>860</v>
      </c>
      <c r="B231" t="s">
        <v>861</v>
      </c>
      <c r="D231" t="s">
        <v>46</v>
      </c>
      <c r="E231" t="s">
        <v>696</v>
      </c>
      <c r="F231" t="s">
        <v>269</v>
      </c>
      <c r="G231" s="5">
        <v>161500</v>
      </c>
      <c r="H231" t="s">
        <v>270</v>
      </c>
      <c r="I231" t="s">
        <v>862</v>
      </c>
    </row>
    <row r="232" spans="1:10" x14ac:dyDescent="0.25">
      <c r="A232" t="s">
        <v>863</v>
      </c>
      <c r="B232" t="s">
        <v>864</v>
      </c>
      <c r="D232" t="s">
        <v>46</v>
      </c>
      <c r="E232" t="s">
        <v>696</v>
      </c>
      <c r="F232" t="s">
        <v>279</v>
      </c>
      <c r="G232" s="5">
        <v>131000</v>
      </c>
      <c r="H232" t="s">
        <v>270</v>
      </c>
      <c r="I232" t="s">
        <v>865</v>
      </c>
    </row>
    <row r="233" spans="1:10" x14ac:dyDescent="0.25">
      <c r="A233" t="s">
        <v>866</v>
      </c>
      <c r="B233" t="s">
        <v>867</v>
      </c>
      <c r="D233" t="s">
        <v>46</v>
      </c>
      <c r="E233" t="s">
        <v>694</v>
      </c>
      <c r="F233" t="s">
        <v>262</v>
      </c>
      <c r="G233" s="5">
        <v>145500</v>
      </c>
      <c r="H233" t="s">
        <v>270</v>
      </c>
      <c r="I233" t="s">
        <v>412</v>
      </c>
    </row>
    <row r="234" spans="1:10" x14ac:dyDescent="0.25">
      <c r="A234" t="s">
        <v>868</v>
      </c>
      <c r="B234" t="s">
        <v>869</v>
      </c>
      <c r="D234" t="s">
        <v>46</v>
      </c>
      <c r="E234" t="s">
        <v>702</v>
      </c>
      <c r="F234" t="s">
        <v>279</v>
      </c>
      <c r="G234" s="5">
        <v>133500</v>
      </c>
      <c r="H234" t="s">
        <v>270</v>
      </c>
      <c r="I234" t="s">
        <v>271</v>
      </c>
    </row>
    <row r="235" spans="1:10" x14ac:dyDescent="0.25">
      <c r="A235" t="s">
        <v>870</v>
      </c>
      <c r="B235" t="s">
        <v>871</v>
      </c>
      <c r="D235" t="s">
        <v>46</v>
      </c>
      <c r="E235" t="s">
        <v>699</v>
      </c>
      <c r="F235" t="s">
        <v>290</v>
      </c>
      <c r="G235" s="5">
        <v>221000</v>
      </c>
      <c r="H235" t="s">
        <v>270</v>
      </c>
      <c r="I235" t="s">
        <v>563</v>
      </c>
    </row>
    <row r="236" spans="1:10" x14ac:dyDescent="0.25">
      <c r="A236" t="s">
        <v>872</v>
      </c>
      <c r="B236" t="s">
        <v>873</v>
      </c>
      <c r="D236" t="s">
        <v>46</v>
      </c>
      <c r="E236" t="s">
        <v>696</v>
      </c>
      <c r="F236" t="s">
        <v>262</v>
      </c>
      <c r="G236" s="5">
        <v>133000</v>
      </c>
      <c r="H236" t="s">
        <v>270</v>
      </c>
      <c r="I236" t="s">
        <v>658</v>
      </c>
    </row>
    <row r="237" spans="1:10" x14ac:dyDescent="0.25">
      <c r="A237" t="s">
        <v>874</v>
      </c>
      <c r="B237" t="s">
        <v>338</v>
      </c>
      <c r="D237" t="s">
        <v>46</v>
      </c>
      <c r="E237" t="s">
        <v>690</v>
      </c>
      <c r="F237" t="s">
        <v>290</v>
      </c>
      <c r="G237" s="5">
        <v>202500</v>
      </c>
      <c r="H237" t="s">
        <v>270</v>
      </c>
      <c r="I237" t="s">
        <v>875</v>
      </c>
    </row>
    <row r="238" spans="1:10" x14ac:dyDescent="0.25">
      <c r="A238" t="s">
        <v>876</v>
      </c>
      <c r="B238" t="s">
        <v>877</v>
      </c>
      <c r="D238" t="s">
        <v>46</v>
      </c>
      <c r="E238" t="s">
        <v>696</v>
      </c>
      <c r="F238" t="s">
        <v>269</v>
      </c>
      <c r="G238" s="5">
        <v>177000</v>
      </c>
      <c r="H238" t="s">
        <v>270</v>
      </c>
      <c r="I238" t="s">
        <v>490</v>
      </c>
    </row>
    <row r="239" spans="1:10" x14ac:dyDescent="0.25">
      <c r="A239" t="s">
        <v>878</v>
      </c>
      <c r="B239" t="s">
        <v>879</v>
      </c>
      <c r="D239" t="s">
        <v>46</v>
      </c>
      <c r="E239" t="s">
        <v>702</v>
      </c>
      <c r="F239" t="s">
        <v>274</v>
      </c>
      <c r="G239" s="5">
        <v>245500</v>
      </c>
      <c r="H239" t="s">
        <v>270</v>
      </c>
      <c r="I239" t="s">
        <v>339</v>
      </c>
    </row>
    <row r="240" spans="1:10" x14ac:dyDescent="0.25">
      <c r="A240" t="s">
        <v>880</v>
      </c>
      <c r="B240" t="s">
        <v>881</v>
      </c>
      <c r="D240" t="s">
        <v>46</v>
      </c>
      <c r="E240" t="s">
        <v>696</v>
      </c>
      <c r="F240" t="s">
        <v>279</v>
      </c>
      <c r="G240" s="5">
        <v>130000</v>
      </c>
      <c r="H240" t="s">
        <v>270</v>
      </c>
      <c r="I240" t="s">
        <v>882</v>
      </c>
    </row>
    <row r="241" spans="1:9" x14ac:dyDescent="0.25">
      <c r="A241" t="s">
        <v>883</v>
      </c>
      <c r="B241" t="s">
        <v>593</v>
      </c>
      <c r="D241" t="s">
        <v>46</v>
      </c>
      <c r="E241" t="s">
        <v>755</v>
      </c>
      <c r="F241" t="s">
        <v>290</v>
      </c>
      <c r="G241" s="5">
        <v>204000</v>
      </c>
      <c r="H241" t="s">
        <v>270</v>
      </c>
      <c r="I241" t="s">
        <v>275</v>
      </c>
    </row>
    <row r="242" spans="1:9" x14ac:dyDescent="0.25">
      <c r="A242" t="s">
        <v>884</v>
      </c>
      <c r="B242" t="s">
        <v>671</v>
      </c>
      <c r="D242" t="s">
        <v>46</v>
      </c>
      <c r="E242" t="s">
        <v>702</v>
      </c>
      <c r="F242" t="s">
        <v>262</v>
      </c>
      <c r="G242" s="5">
        <v>134500</v>
      </c>
      <c r="H242" t="s">
        <v>270</v>
      </c>
      <c r="I242" t="s">
        <v>752</v>
      </c>
    </row>
    <row r="243" spans="1:9" x14ac:dyDescent="0.25">
      <c r="A243" t="s">
        <v>885</v>
      </c>
      <c r="B243" t="s">
        <v>879</v>
      </c>
      <c r="D243" t="s">
        <v>46</v>
      </c>
      <c r="E243" t="s">
        <v>717</v>
      </c>
      <c r="F243" t="s">
        <v>290</v>
      </c>
      <c r="G243" s="5">
        <v>206000</v>
      </c>
      <c r="H243" t="s">
        <v>270</v>
      </c>
      <c r="I243" t="s">
        <v>376</v>
      </c>
    </row>
    <row r="244" spans="1:9" x14ac:dyDescent="0.25">
      <c r="A244" t="s">
        <v>886</v>
      </c>
      <c r="B244" t="s">
        <v>887</v>
      </c>
      <c r="D244" t="s">
        <v>46</v>
      </c>
      <c r="E244" t="s">
        <v>694</v>
      </c>
      <c r="F244" t="s">
        <v>262</v>
      </c>
      <c r="G244" s="5">
        <v>133500</v>
      </c>
      <c r="H244" t="s">
        <v>270</v>
      </c>
      <c r="I244" t="s">
        <v>347</v>
      </c>
    </row>
    <row r="245" spans="1:9" x14ac:dyDescent="0.25">
      <c r="A245" t="s">
        <v>888</v>
      </c>
      <c r="B245" t="s">
        <v>889</v>
      </c>
      <c r="D245" t="s">
        <v>46</v>
      </c>
      <c r="E245" t="s">
        <v>702</v>
      </c>
      <c r="F245" t="s">
        <v>279</v>
      </c>
      <c r="G245" s="5">
        <v>125500</v>
      </c>
      <c r="H245" t="s">
        <v>270</v>
      </c>
      <c r="I245" t="s">
        <v>578</v>
      </c>
    </row>
    <row r="246" spans="1:9" x14ac:dyDescent="0.25">
      <c r="A246" t="s">
        <v>890</v>
      </c>
      <c r="B246" t="s">
        <v>891</v>
      </c>
      <c r="D246" t="s">
        <v>46</v>
      </c>
      <c r="E246" t="s">
        <v>702</v>
      </c>
      <c r="F246" t="s">
        <v>262</v>
      </c>
      <c r="G246" s="5">
        <v>132000</v>
      </c>
      <c r="H246" t="s">
        <v>270</v>
      </c>
      <c r="I246" t="s">
        <v>892</v>
      </c>
    </row>
    <row r="247" spans="1:9" x14ac:dyDescent="0.25">
      <c r="A247" t="s">
        <v>893</v>
      </c>
      <c r="B247" t="s">
        <v>894</v>
      </c>
      <c r="D247" t="s">
        <v>46</v>
      </c>
      <c r="E247" t="s">
        <v>699</v>
      </c>
      <c r="F247" t="s">
        <v>279</v>
      </c>
      <c r="G247" s="5">
        <v>132500</v>
      </c>
      <c r="H247" t="s">
        <v>270</v>
      </c>
      <c r="I247" t="s">
        <v>406</v>
      </c>
    </row>
    <row r="248" spans="1:9" x14ac:dyDescent="0.25">
      <c r="A248" t="s">
        <v>895</v>
      </c>
      <c r="B248" t="s">
        <v>896</v>
      </c>
      <c r="D248" t="s">
        <v>46</v>
      </c>
      <c r="E248" t="s">
        <v>699</v>
      </c>
      <c r="F248" t="s">
        <v>262</v>
      </c>
      <c r="G248" s="5">
        <v>135000</v>
      </c>
      <c r="H248" t="s">
        <v>270</v>
      </c>
      <c r="I248" t="s">
        <v>897</v>
      </c>
    </row>
    <row r="249" spans="1:9" x14ac:dyDescent="0.25">
      <c r="A249" t="s">
        <v>898</v>
      </c>
      <c r="B249" t="s">
        <v>899</v>
      </c>
      <c r="D249" t="s">
        <v>46</v>
      </c>
      <c r="E249" t="s">
        <v>717</v>
      </c>
      <c r="F249" t="s">
        <v>290</v>
      </c>
      <c r="G249" s="5">
        <v>207000</v>
      </c>
      <c r="H249" t="s">
        <v>270</v>
      </c>
      <c r="I249" t="s">
        <v>406</v>
      </c>
    </row>
    <row r="250" spans="1:9" x14ac:dyDescent="0.25">
      <c r="A250" t="s">
        <v>900</v>
      </c>
      <c r="B250" t="s">
        <v>489</v>
      </c>
      <c r="D250" t="s">
        <v>46</v>
      </c>
      <c r="E250" t="s">
        <v>699</v>
      </c>
      <c r="F250" t="s">
        <v>269</v>
      </c>
      <c r="G250" s="5">
        <v>179500</v>
      </c>
      <c r="H250" t="s">
        <v>270</v>
      </c>
      <c r="I250" t="s">
        <v>575</v>
      </c>
    </row>
    <row r="251" spans="1:9" x14ac:dyDescent="0.25">
      <c r="A251" t="s">
        <v>901</v>
      </c>
      <c r="B251" t="s">
        <v>902</v>
      </c>
      <c r="D251" t="s">
        <v>46</v>
      </c>
      <c r="E251" t="s">
        <v>717</v>
      </c>
      <c r="F251" t="s">
        <v>262</v>
      </c>
      <c r="G251" s="5">
        <v>152000</v>
      </c>
      <c r="H251" t="s">
        <v>270</v>
      </c>
      <c r="I251" t="s">
        <v>336</v>
      </c>
    </row>
    <row r="252" spans="1:9" x14ac:dyDescent="0.25">
      <c r="A252" t="s">
        <v>903</v>
      </c>
      <c r="B252" t="s">
        <v>736</v>
      </c>
      <c r="D252" t="s">
        <v>46</v>
      </c>
      <c r="E252" t="s">
        <v>702</v>
      </c>
      <c r="F252" t="s">
        <v>269</v>
      </c>
      <c r="G252" s="5">
        <v>160500</v>
      </c>
      <c r="H252" t="s">
        <v>270</v>
      </c>
      <c r="I252" t="s">
        <v>904</v>
      </c>
    </row>
    <row r="253" spans="1:9" x14ac:dyDescent="0.25">
      <c r="A253" t="s">
        <v>905</v>
      </c>
      <c r="B253" t="s">
        <v>906</v>
      </c>
      <c r="D253" t="s">
        <v>46</v>
      </c>
      <c r="E253" t="s">
        <v>717</v>
      </c>
      <c r="F253" t="s">
        <v>262</v>
      </c>
      <c r="G253" s="5">
        <v>135500</v>
      </c>
      <c r="H253" t="s">
        <v>270</v>
      </c>
      <c r="I253" t="s">
        <v>897</v>
      </c>
    </row>
    <row r="254" spans="1:9" x14ac:dyDescent="0.25">
      <c r="A254" t="s">
        <v>907</v>
      </c>
      <c r="B254" t="s">
        <v>908</v>
      </c>
      <c r="D254" t="s">
        <v>46</v>
      </c>
      <c r="E254" t="s">
        <v>690</v>
      </c>
      <c r="F254" t="s">
        <v>269</v>
      </c>
      <c r="G254" s="5">
        <v>170000</v>
      </c>
      <c r="H254" t="s">
        <v>270</v>
      </c>
      <c r="I254" t="s">
        <v>321</v>
      </c>
    </row>
    <row r="255" spans="1:9" x14ac:dyDescent="0.25">
      <c r="A255" t="s">
        <v>909</v>
      </c>
      <c r="B255" t="s">
        <v>910</v>
      </c>
      <c r="D255" t="s">
        <v>46</v>
      </c>
      <c r="E255" t="s">
        <v>696</v>
      </c>
      <c r="F255" t="s">
        <v>279</v>
      </c>
      <c r="G255" s="5">
        <v>133000</v>
      </c>
      <c r="H255" t="s">
        <v>270</v>
      </c>
      <c r="I255" t="s">
        <v>430</v>
      </c>
    </row>
    <row r="256" spans="1:9" x14ac:dyDescent="0.25">
      <c r="A256" t="s">
        <v>911</v>
      </c>
      <c r="B256" t="s">
        <v>912</v>
      </c>
      <c r="D256" t="s">
        <v>46</v>
      </c>
      <c r="E256" t="s">
        <v>694</v>
      </c>
      <c r="F256" t="s">
        <v>279</v>
      </c>
      <c r="G256" s="5">
        <v>125500</v>
      </c>
      <c r="H256" t="s">
        <v>270</v>
      </c>
      <c r="I256" t="s">
        <v>306</v>
      </c>
    </row>
    <row r="257" spans="1:9" x14ac:dyDescent="0.25">
      <c r="A257" t="s">
        <v>913</v>
      </c>
      <c r="B257" t="s">
        <v>475</v>
      </c>
      <c r="D257" t="s">
        <v>46</v>
      </c>
      <c r="E257" t="s">
        <v>699</v>
      </c>
      <c r="F257" t="s">
        <v>290</v>
      </c>
      <c r="G257" s="5">
        <v>216000</v>
      </c>
      <c r="H257" t="s">
        <v>270</v>
      </c>
      <c r="I257" t="s">
        <v>914</v>
      </c>
    </row>
    <row r="258" spans="1:9" x14ac:dyDescent="0.25">
      <c r="A258" t="s">
        <v>915</v>
      </c>
      <c r="B258" t="s">
        <v>916</v>
      </c>
      <c r="D258" t="s">
        <v>46</v>
      </c>
      <c r="E258" t="s">
        <v>699</v>
      </c>
      <c r="F258" t="s">
        <v>262</v>
      </c>
      <c r="G258" s="5">
        <v>142000</v>
      </c>
      <c r="H258" t="s">
        <v>270</v>
      </c>
      <c r="I258" t="s">
        <v>505</v>
      </c>
    </row>
    <row r="259" spans="1:9" x14ac:dyDescent="0.25">
      <c r="A259" t="s">
        <v>917</v>
      </c>
      <c r="B259" t="s">
        <v>918</v>
      </c>
      <c r="D259" t="s">
        <v>46</v>
      </c>
      <c r="E259" t="s">
        <v>694</v>
      </c>
      <c r="F259" t="s">
        <v>269</v>
      </c>
      <c r="G259" s="5">
        <v>155000</v>
      </c>
      <c r="H259" t="s">
        <v>270</v>
      </c>
      <c r="I259" t="s">
        <v>280</v>
      </c>
    </row>
    <row r="260" spans="1:9" x14ac:dyDescent="0.25">
      <c r="A260" t="s">
        <v>919</v>
      </c>
      <c r="B260" t="s">
        <v>748</v>
      </c>
      <c r="D260" t="s">
        <v>46</v>
      </c>
      <c r="E260" t="s">
        <v>702</v>
      </c>
      <c r="F260" t="s">
        <v>418</v>
      </c>
      <c r="G260" s="5">
        <v>268500</v>
      </c>
      <c r="H260" t="s">
        <v>270</v>
      </c>
      <c r="I260" t="s">
        <v>859</v>
      </c>
    </row>
    <row r="261" spans="1:9" x14ac:dyDescent="0.25">
      <c r="A261" t="s">
        <v>920</v>
      </c>
      <c r="B261" t="s">
        <v>487</v>
      </c>
      <c r="D261" t="s">
        <v>46</v>
      </c>
      <c r="E261" t="s">
        <v>696</v>
      </c>
      <c r="F261" t="s">
        <v>262</v>
      </c>
      <c r="G261" s="5">
        <v>144000</v>
      </c>
      <c r="H261" t="s">
        <v>270</v>
      </c>
      <c r="I261" t="s">
        <v>921</v>
      </c>
    </row>
    <row r="262" spans="1:9" x14ac:dyDescent="0.25">
      <c r="A262" t="s">
        <v>922</v>
      </c>
      <c r="B262" t="s">
        <v>923</v>
      </c>
      <c r="D262" t="s">
        <v>46</v>
      </c>
      <c r="E262" t="s">
        <v>702</v>
      </c>
      <c r="F262" t="s">
        <v>279</v>
      </c>
      <c r="G262" s="5">
        <v>114500</v>
      </c>
      <c r="H262" t="s">
        <v>270</v>
      </c>
      <c r="I262" t="s">
        <v>321</v>
      </c>
    </row>
    <row r="263" spans="1:9" x14ac:dyDescent="0.25">
      <c r="A263" t="s">
        <v>924</v>
      </c>
      <c r="B263" t="s">
        <v>925</v>
      </c>
      <c r="D263" t="s">
        <v>46</v>
      </c>
      <c r="E263" t="s">
        <v>694</v>
      </c>
      <c r="F263" t="s">
        <v>262</v>
      </c>
      <c r="G263" s="5">
        <v>159000</v>
      </c>
      <c r="H263" t="s">
        <v>270</v>
      </c>
      <c r="I263" t="s">
        <v>517</v>
      </c>
    </row>
    <row r="264" spans="1:9" x14ac:dyDescent="0.25">
      <c r="A264" t="s">
        <v>926</v>
      </c>
      <c r="B264" t="s">
        <v>927</v>
      </c>
      <c r="D264" t="s">
        <v>46</v>
      </c>
      <c r="E264" t="s">
        <v>699</v>
      </c>
      <c r="F264" t="s">
        <v>262</v>
      </c>
      <c r="G264" s="5">
        <v>132500</v>
      </c>
      <c r="H264" t="s">
        <v>270</v>
      </c>
      <c r="I264" t="s">
        <v>802</v>
      </c>
    </row>
    <row r="265" spans="1:9" x14ac:dyDescent="0.25">
      <c r="A265" t="s">
        <v>928</v>
      </c>
      <c r="B265" t="s">
        <v>929</v>
      </c>
      <c r="D265" t="s">
        <v>46</v>
      </c>
      <c r="E265" t="s">
        <v>690</v>
      </c>
      <c r="F265" t="s">
        <v>269</v>
      </c>
      <c r="G265" s="5">
        <v>168000</v>
      </c>
      <c r="H265" t="s">
        <v>270</v>
      </c>
      <c r="I265" t="s">
        <v>403</v>
      </c>
    </row>
    <row r="266" spans="1:9" x14ac:dyDescent="0.25">
      <c r="A266" t="s">
        <v>930</v>
      </c>
      <c r="B266" t="s">
        <v>931</v>
      </c>
      <c r="D266" t="s">
        <v>46</v>
      </c>
      <c r="E266" t="s">
        <v>690</v>
      </c>
      <c r="F266" t="s">
        <v>269</v>
      </c>
      <c r="G266" s="5">
        <v>178000</v>
      </c>
      <c r="H266" t="s">
        <v>270</v>
      </c>
      <c r="I266" t="s">
        <v>309</v>
      </c>
    </row>
    <row r="267" spans="1:9" x14ac:dyDescent="0.25">
      <c r="A267" t="s">
        <v>932</v>
      </c>
      <c r="B267" t="s">
        <v>933</v>
      </c>
      <c r="D267" t="s">
        <v>46</v>
      </c>
      <c r="E267" t="s">
        <v>699</v>
      </c>
      <c r="F267" t="s">
        <v>290</v>
      </c>
      <c r="G267" s="5">
        <v>217000</v>
      </c>
      <c r="H267" t="s">
        <v>270</v>
      </c>
      <c r="I267" t="s">
        <v>934</v>
      </c>
    </row>
    <row r="268" spans="1:9" x14ac:dyDescent="0.25">
      <c r="A268" t="s">
        <v>935</v>
      </c>
      <c r="B268" t="s">
        <v>751</v>
      </c>
      <c r="D268" t="s">
        <v>46</v>
      </c>
      <c r="E268" t="s">
        <v>696</v>
      </c>
      <c r="F268" t="s">
        <v>262</v>
      </c>
      <c r="G268" s="5">
        <v>153000</v>
      </c>
      <c r="H268" t="s">
        <v>270</v>
      </c>
      <c r="I268" t="s">
        <v>904</v>
      </c>
    </row>
    <row r="269" spans="1:9" x14ac:dyDescent="0.25">
      <c r="A269" t="s">
        <v>936</v>
      </c>
      <c r="B269" t="s">
        <v>937</v>
      </c>
      <c r="D269" t="s">
        <v>46</v>
      </c>
      <c r="E269" t="s">
        <v>696</v>
      </c>
      <c r="F269" t="s">
        <v>262</v>
      </c>
      <c r="G269" s="5">
        <v>146500</v>
      </c>
      <c r="H269" t="s">
        <v>270</v>
      </c>
      <c r="I269" t="s">
        <v>788</v>
      </c>
    </row>
    <row r="270" spans="1:9" x14ac:dyDescent="0.25">
      <c r="A270" t="s">
        <v>938</v>
      </c>
      <c r="B270" t="s">
        <v>939</v>
      </c>
      <c r="D270" t="s">
        <v>46</v>
      </c>
      <c r="E270" t="s">
        <v>699</v>
      </c>
      <c r="F270" t="s">
        <v>274</v>
      </c>
      <c r="G270" s="5">
        <v>235000</v>
      </c>
      <c r="H270" t="s">
        <v>270</v>
      </c>
      <c r="I270" t="s">
        <v>799</v>
      </c>
    </row>
    <row r="271" spans="1:9" x14ac:dyDescent="0.25">
      <c r="A271" t="s">
        <v>940</v>
      </c>
      <c r="B271" t="s">
        <v>558</v>
      </c>
      <c r="D271" t="s">
        <v>46</v>
      </c>
      <c r="E271" t="s">
        <v>699</v>
      </c>
      <c r="F271" t="s">
        <v>262</v>
      </c>
      <c r="G271" s="5">
        <v>134000</v>
      </c>
      <c r="H271" t="s">
        <v>270</v>
      </c>
      <c r="I271" t="s">
        <v>852</v>
      </c>
    </row>
    <row r="272" spans="1:9" x14ac:dyDescent="0.25">
      <c r="A272" t="s">
        <v>941</v>
      </c>
      <c r="B272" t="s">
        <v>942</v>
      </c>
      <c r="D272" t="s">
        <v>46</v>
      </c>
      <c r="E272" t="s">
        <v>702</v>
      </c>
      <c r="F272" t="s">
        <v>279</v>
      </c>
      <c r="G272" s="5">
        <v>119500</v>
      </c>
      <c r="H272" t="s">
        <v>270</v>
      </c>
      <c r="I272" t="s">
        <v>529</v>
      </c>
    </row>
    <row r="273" spans="1:9" x14ac:dyDescent="0.25">
      <c r="A273" t="s">
        <v>943</v>
      </c>
      <c r="B273" t="s">
        <v>944</v>
      </c>
      <c r="D273" t="s">
        <v>46</v>
      </c>
      <c r="E273" t="s">
        <v>699</v>
      </c>
      <c r="F273" t="s">
        <v>262</v>
      </c>
      <c r="G273" s="5">
        <v>150500</v>
      </c>
      <c r="H273" t="s">
        <v>270</v>
      </c>
      <c r="I273" t="s">
        <v>493</v>
      </c>
    </row>
    <row r="274" spans="1:9" x14ac:dyDescent="0.25">
      <c r="A274" t="s">
        <v>945</v>
      </c>
      <c r="B274" t="s">
        <v>751</v>
      </c>
      <c r="D274" t="s">
        <v>46</v>
      </c>
      <c r="E274" t="s">
        <v>755</v>
      </c>
      <c r="F274" t="s">
        <v>290</v>
      </c>
      <c r="G274" s="5">
        <v>194000</v>
      </c>
      <c r="H274" t="s">
        <v>270</v>
      </c>
      <c r="I274" t="s">
        <v>389</v>
      </c>
    </row>
    <row r="275" spans="1:9" x14ac:dyDescent="0.25">
      <c r="A275" t="s">
        <v>946</v>
      </c>
      <c r="B275" t="s">
        <v>540</v>
      </c>
      <c r="D275" t="s">
        <v>46</v>
      </c>
      <c r="E275" t="s">
        <v>717</v>
      </c>
      <c r="F275" t="s">
        <v>279</v>
      </c>
      <c r="G275" s="5">
        <v>112500</v>
      </c>
      <c r="H275" t="s">
        <v>270</v>
      </c>
      <c r="I275" t="s">
        <v>947</v>
      </c>
    </row>
    <row r="276" spans="1:9" x14ac:dyDescent="0.25">
      <c r="A276" t="s">
        <v>948</v>
      </c>
      <c r="B276" t="s">
        <v>949</v>
      </c>
      <c r="D276" t="s">
        <v>46</v>
      </c>
      <c r="E276" t="s">
        <v>702</v>
      </c>
      <c r="F276" t="s">
        <v>269</v>
      </c>
      <c r="G276" s="5">
        <v>156000</v>
      </c>
      <c r="H276" t="s">
        <v>270</v>
      </c>
      <c r="I276" t="s">
        <v>749</v>
      </c>
    </row>
    <row r="277" spans="1:9" x14ac:dyDescent="0.25">
      <c r="A277" t="s">
        <v>950</v>
      </c>
      <c r="B277" t="s">
        <v>951</v>
      </c>
      <c r="D277" t="s">
        <v>46</v>
      </c>
      <c r="E277" t="s">
        <v>690</v>
      </c>
      <c r="F277" t="s">
        <v>418</v>
      </c>
      <c r="G277" s="5">
        <v>283000</v>
      </c>
      <c r="H277" t="s">
        <v>270</v>
      </c>
      <c r="I277" t="s">
        <v>381</v>
      </c>
    </row>
    <row r="278" spans="1:9" x14ac:dyDescent="0.25">
      <c r="A278" t="s">
        <v>952</v>
      </c>
      <c r="B278" t="s">
        <v>953</v>
      </c>
      <c r="D278" t="s">
        <v>46</v>
      </c>
      <c r="E278" t="s">
        <v>717</v>
      </c>
      <c r="F278" t="s">
        <v>274</v>
      </c>
      <c r="G278" s="5">
        <v>219000</v>
      </c>
      <c r="H278" t="s">
        <v>270</v>
      </c>
      <c r="I278" t="s">
        <v>455</v>
      </c>
    </row>
    <row r="279" spans="1:9" x14ac:dyDescent="0.25">
      <c r="A279" t="s">
        <v>954</v>
      </c>
      <c r="B279" t="s">
        <v>877</v>
      </c>
      <c r="D279" t="s">
        <v>46</v>
      </c>
      <c r="E279" t="s">
        <v>690</v>
      </c>
      <c r="F279" t="s">
        <v>262</v>
      </c>
      <c r="G279" s="5">
        <v>136000</v>
      </c>
      <c r="H279" t="s">
        <v>270</v>
      </c>
      <c r="I279" t="s">
        <v>481</v>
      </c>
    </row>
    <row r="280" spans="1:9" x14ac:dyDescent="0.25">
      <c r="A280" t="s">
        <v>955</v>
      </c>
      <c r="B280" t="s">
        <v>956</v>
      </c>
      <c r="D280" t="s">
        <v>46</v>
      </c>
      <c r="E280" t="s">
        <v>696</v>
      </c>
      <c r="F280" t="s">
        <v>274</v>
      </c>
      <c r="G280" s="5">
        <v>224500</v>
      </c>
      <c r="H280" t="s">
        <v>270</v>
      </c>
      <c r="I280" t="s">
        <v>470</v>
      </c>
    </row>
    <row r="281" spans="1:9" x14ac:dyDescent="0.25">
      <c r="A281" t="s">
        <v>957</v>
      </c>
      <c r="B281" t="s">
        <v>958</v>
      </c>
      <c r="D281" t="s">
        <v>46</v>
      </c>
      <c r="E281" t="s">
        <v>755</v>
      </c>
      <c r="F281" t="s">
        <v>262</v>
      </c>
      <c r="G281" s="5">
        <v>152500</v>
      </c>
      <c r="H281" t="s">
        <v>270</v>
      </c>
      <c r="I281" t="s">
        <v>522</v>
      </c>
    </row>
    <row r="282" spans="1:9" x14ac:dyDescent="0.25">
      <c r="A282" t="s">
        <v>959</v>
      </c>
      <c r="B282" t="s">
        <v>960</v>
      </c>
      <c r="D282" t="s">
        <v>46</v>
      </c>
      <c r="E282" t="s">
        <v>717</v>
      </c>
      <c r="F282" t="s">
        <v>262</v>
      </c>
      <c r="G282" s="5">
        <v>138000</v>
      </c>
      <c r="H282" t="s">
        <v>270</v>
      </c>
      <c r="I282" t="s">
        <v>961</v>
      </c>
    </row>
    <row r="283" spans="1:9" x14ac:dyDescent="0.25">
      <c r="A283" t="s">
        <v>962</v>
      </c>
      <c r="B283" t="s">
        <v>963</v>
      </c>
      <c r="D283" t="s">
        <v>46</v>
      </c>
      <c r="E283" t="s">
        <v>717</v>
      </c>
      <c r="F283" t="s">
        <v>290</v>
      </c>
      <c r="G283" s="5">
        <v>193500</v>
      </c>
      <c r="H283" t="s">
        <v>270</v>
      </c>
      <c r="I283" t="s">
        <v>529</v>
      </c>
    </row>
    <row r="284" spans="1:9" x14ac:dyDescent="0.25">
      <c r="A284" t="s">
        <v>964</v>
      </c>
      <c r="B284" t="s">
        <v>965</v>
      </c>
      <c r="D284" t="s">
        <v>46</v>
      </c>
      <c r="E284" t="s">
        <v>694</v>
      </c>
      <c r="F284" t="s">
        <v>269</v>
      </c>
      <c r="G284" s="5">
        <v>154000</v>
      </c>
      <c r="H284" t="s">
        <v>270</v>
      </c>
      <c r="I284" t="s">
        <v>327</v>
      </c>
    </row>
    <row r="285" spans="1:9" x14ac:dyDescent="0.25">
      <c r="A285" t="s">
        <v>966</v>
      </c>
      <c r="B285" t="s">
        <v>967</v>
      </c>
      <c r="D285" t="s">
        <v>46</v>
      </c>
      <c r="E285" t="s">
        <v>694</v>
      </c>
      <c r="F285" t="s">
        <v>279</v>
      </c>
      <c r="G285" s="5">
        <v>119500</v>
      </c>
      <c r="H285" t="s">
        <v>270</v>
      </c>
      <c r="I285" t="s">
        <v>467</v>
      </c>
    </row>
    <row r="286" spans="1:9" x14ac:dyDescent="0.25">
      <c r="A286" t="s">
        <v>968</v>
      </c>
      <c r="B286" t="s">
        <v>969</v>
      </c>
      <c r="D286" t="s">
        <v>46</v>
      </c>
      <c r="E286" t="s">
        <v>696</v>
      </c>
      <c r="F286" t="s">
        <v>418</v>
      </c>
      <c r="G286" s="5">
        <v>267000</v>
      </c>
      <c r="H286" t="s">
        <v>270</v>
      </c>
      <c r="I286" t="s">
        <v>970</v>
      </c>
    </row>
    <row r="287" spans="1:9" x14ac:dyDescent="0.25">
      <c r="A287" t="s">
        <v>971</v>
      </c>
      <c r="B287" t="s">
        <v>972</v>
      </c>
      <c r="D287" t="s">
        <v>46</v>
      </c>
      <c r="E287" t="s">
        <v>755</v>
      </c>
      <c r="F287" t="s">
        <v>290</v>
      </c>
      <c r="G287" s="5">
        <v>202500</v>
      </c>
      <c r="H287" t="s">
        <v>270</v>
      </c>
      <c r="I287" t="s">
        <v>476</v>
      </c>
    </row>
    <row r="288" spans="1:9" x14ac:dyDescent="0.25">
      <c r="A288" t="s">
        <v>973</v>
      </c>
      <c r="B288" t="s">
        <v>974</v>
      </c>
      <c r="D288" t="s">
        <v>46</v>
      </c>
      <c r="E288" t="s">
        <v>699</v>
      </c>
      <c r="F288" t="s">
        <v>290</v>
      </c>
      <c r="G288" s="5">
        <v>189500</v>
      </c>
      <c r="H288" t="s">
        <v>270</v>
      </c>
      <c r="I288" t="s">
        <v>975</v>
      </c>
    </row>
    <row r="289" spans="1:9" x14ac:dyDescent="0.25">
      <c r="A289" t="s">
        <v>976</v>
      </c>
      <c r="B289" t="s">
        <v>378</v>
      </c>
      <c r="D289" t="s">
        <v>46</v>
      </c>
      <c r="E289" t="s">
        <v>717</v>
      </c>
      <c r="F289" t="s">
        <v>279</v>
      </c>
      <c r="G289" s="5">
        <v>112500</v>
      </c>
      <c r="H289" t="s">
        <v>270</v>
      </c>
      <c r="I289" t="s">
        <v>412</v>
      </c>
    </row>
    <row r="290" spans="1:9" x14ac:dyDescent="0.25">
      <c r="A290" t="s">
        <v>977</v>
      </c>
      <c r="B290" t="s">
        <v>978</v>
      </c>
      <c r="D290" t="s">
        <v>46</v>
      </c>
      <c r="E290" t="s">
        <v>702</v>
      </c>
      <c r="F290" t="s">
        <v>279</v>
      </c>
      <c r="G290" s="5">
        <v>124500</v>
      </c>
      <c r="H290" t="s">
        <v>270</v>
      </c>
      <c r="I290" t="s">
        <v>662</v>
      </c>
    </row>
    <row r="291" spans="1:9" x14ac:dyDescent="0.25">
      <c r="A291" t="s">
        <v>979</v>
      </c>
      <c r="B291" t="s">
        <v>980</v>
      </c>
      <c r="D291" t="s">
        <v>46</v>
      </c>
      <c r="E291" t="s">
        <v>717</v>
      </c>
      <c r="F291" t="s">
        <v>262</v>
      </c>
      <c r="G291" s="5">
        <v>159000</v>
      </c>
      <c r="H291" t="s">
        <v>270</v>
      </c>
      <c r="I291" t="s">
        <v>455</v>
      </c>
    </row>
    <row r="292" spans="1:9" x14ac:dyDescent="0.25">
      <c r="A292" t="s">
        <v>981</v>
      </c>
      <c r="B292" t="s">
        <v>931</v>
      </c>
      <c r="D292" t="s">
        <v>46</v>
      </c>
      <c r="E292" t="s">
        <v>717</v>
      </c>
      <c r="F292" t="s">
        <v>274</v>
      </c>
      <c r="G292" s="5">
        <v>210000</v>
      </c>
      <c r="H292" t="s">
        <v>270</v>
      </c>
      <c r="I292" t="s">
        <v>875</v>
      </c>
    </row>
    <row r="293" spans="1:9" x14ac:dyDescent="0.25">
      <c r="A293" t="s">
        <v>982</v>
      </c>
      <c r="B293" t="s">
        <v>983</v>
      </c>
      <c r="D293" t="s">
        <v>46</v>
      </c>
      <c r="E293" t="s">
        <v>699</v>
      </c>
      <c r="F293" t="s">
        <v>418</v>
      </c>
      <c r="G293" s="5">
        <v>268500</v>
      </c>
      <c r="H293" t="s">
        <v>270</v>
      </c>
      <c r="I293" t="s">
        <v>386</v>
      </c>
    </row>
    <row r="294" spans="1:9" x14ac:dyDescent="0.25">
      <c r="A294" t="s">
        <v>984</v>
      </c>
      <c r="B294" t="s">
        <v>985</v>
      </c>
      <c r="D294" t="s">
        <v>46</v>
      </c>
      <c r="E294" t="s">
        <v>717</v>
      </c>
      <c r="F294" t="s">
        <v>279</v>
      </c>
      <c r="G294" s="5">
        <v>114000</v>
      </c>
      <c r="H294" t="s">
        <v>270</v>
      </c>
      <c r="I294" t="s">
        <v>802</v>
      </c>
    </row>
    <row r="295" spans="1:9" x14ac:dyDescent="0.25">
      <c r="A295" t="s">
        <v>986</v>
      </c>
      <c r="B295" t="s">
        <v>987</v>
      </c>
      <c r="D295" t="s">
        <v>46</v>
      </c>
      <c r="E295" t="s">
        <v>755</v>
      </c>
      <c r="F295" t="s">
        <v>274</v>
      </c>
      <c r="G295" s="5">
        <v>230000</v>
      </c>
      <c r="H295" t="s">
        <v>270</v>
      </c>
      <c r="I295" t="s">
        <v>438</v>
      </c>
    </row>
    <row r="296" spans="1:9" x14ac:dyDescent="0.25">
      <c r="A296" t="s">
        <v>988</v>
      </c>
      <c r="B296" t="s">
        <v>989</v>
      </c>
      <c r="D296" t="s">
        <v>46</v>
      </c>
      <c r="E296" t="s">
        <v>699</v>
      </c>
      <c r="F296" t="s">
        <v>262</v>
      </c>
      <c r="G296" s="5">
        <v>146000</v>
      </c>
      <c r="H296" t="s">
        <v>270</v>
      </c>
      <c r="I296" t="s">
        <v>406</v>
      </c>
    </row>
    <row r="297" spans="1:9" x14ac:dyDescent="0.25">
      <c r="A297" t="s">
        <v>990</v>
      </c>
      <c r="B297" t="s">
        <v>991</v>
      </c>
      <c r="D297" t="s">
        <v>46</v>
      </c>
      <c r="E297" t="s">
        <v>702</v>
      </c>
      <c r="F297" t="s">
        <v>290</v>
      </c>
      <c r="G297" s="5">
        <v>219500</v>
      </c>
      <c r="H297" t="s">
        <v>270</v>
      </c>
      <c r="I297" t="s">
        <v>517</v>
      </c>
    </row>
    <row r="298" spans="1:9" x14ac:dyDescent="0.25">
      <c r="A298" t="s">
        <v>992</v>
      </c>
      <c r="B298" t="s">
        <v>993</v>
      </c>
      <c r="D298" t="s">
        <v>46</v>
      </c>
      <c r="E298" t="s">
        <v>690</v>
      </c>
      <c r="F298" t="s">
        <v>274</v>
      </c>
      <c r="G298" s="5">
        <v>235500</v>
      </c>
      <c r="H298" t="s">
        <v>270</v>
      </c>
      <c r="I298" t="s">
        <v>430</v>
      </c>
    </row>
    <row r="299" spans="1:9" x14ac:dyDescent="0.25">
      <c r="A299" t="s">
        <v>994</v>
      </c>
      <c r="B299" t="s">
        <v>995</v>
      </c>
      <c r="D299" t="s">
        <v>46</v>
      </c>
      <c r="E299" t="s">
        <v>699</v>
      </c>
      <c r="F299" t="s">
        <v>279</v>
      </c>
      <c r="G299" s="5">
        <v>115000</v>
      </c>
      <c r="H299" t="s">
        <v>270</v>
      </c>
      <c r="I299" t="s">
        <v>947</v>
      </c>
    </row>
    <row r="300" spans="1:9" x14ac:dyDescent="0.25">
      <c r="A300" t="s">
        <v>996</v>
      </c>
      <c r="B300" t="s">
        <v>997</v>
      </c>
      <c r="D300" t="s">
        <v>46</v>
      </c>
      <c r="E300" t="s">
        <v>696</v>
      </c>
      <c r="F300" t="s">
        <v>290</v>
      </c>
      <c r="G300" s="5">
        <v>205000</v>
      </c>
      <c r="H300" t="s">
        <v>270</v>
      </c>
      <c r="I300" t="s">
        <v>493</v>
      </c>
    </row>
    <row r="301" spans="1:9" x14ac:dyDescent="0.25">
      <c r="A301" t="s">
        <v>998</v>
      </c>
      <c r="B301" t="s">
        <v>999</v>
      </c>
      <c r="D301" t="s">
        <v>46</v>
      </c>
      <c r="E301" t="s">
        <v>699</v>
      </c>
      <c r="F301" t="s">
        <v>269</v>
      </c>
      <c r="G301" s="5">
        <v>170000</v>
      </c>
      <c r="H301" t="s">
        <v>270</v>
      </c>
      <c r="I301" t="s">
        <v>578</v>
      </c>
    </row>
    <row r="302" spans="1:9" x14ac:dyDescent="0.25">
      <c r="A302" t="s">
        <v>1000</v>
      </c>
      <c r="B302" t="s">
        <v>1001</v>
      </c>
      <c r="D302" t="s">
        <v>46</v>
      </c>
      <c r="E302" t="s">
        <v>717</v>
      </c>
      <c r="F302" t="s">
        <v>262</v>
      </c>
      <c r="G302" s="5">
        <v>154000</v>
      </c>
      <c r="H302" t="s">
        <v>270</v>
      </c>
      <c r="I302" t="s">
        <v>455</v>
      </c>
    </row>
    <row r="303" spans="1:9" x14ac:dyDescent="0.25">
      <c r="A303" t="s">
        <v>1002</v>
      </c>
      <c r="B303" t="s">
        <v>1003</v>
      </c>
      <c r="D303" t="s">
        <v>46</v>
      </c>
      <c r="E303" t="s">
        <v>690</v>
      </c>
      <c r="F303" t="s">
        <v>274</v>
      </c>
      <c r="G303" s="5">
        <v>234000</v>
      </c>
      <c r="H303" t="s">
        <v>270</v>
      </c>
      <c r="I303" t="s">
        <v>409</v>
      </c>
    </row>
    <row r="304" spans="1:9" x14ac:dyDescent="0.25">
      <c r="A304" t="s">
        <v>1004</v>
      </c>
      <c r="B304" t="s">
        <v>1005</v>
      </c>
      <c r="D304" t="s">
        <v>46</v>
      </c>
      <c r="E304" t="s">
        <v>755</v>
      </c>
      <c r="F304" t="s">
        <v>262</v>
      </c>
      <c r="G304" s="5">
        <v>140500</v>
      </c>
      <c r="H304" t="s">
        <v>270</v>
      </c>
      <c r="I304" t="s">
        <v>1006</v>
      </c>
    </row>
    <row r="305" spans="1:9" x14ac:dyDescent="0.25">
      <c r="A305" t="s">
        <v>1007</v>
      </c>
      <c r="B305" t="s">
        <v>1008</v>
      </c>
      <c r="D305" t="s">
        <v>46</v>
      </c>
      <c r="E305" t="s">
        <v>717</v>
      </c>
      <c r="F305" t="s">
        <v>269</v>
      </c>
      <c r="G305" s="5">
        <v>185000</v>
      </c>
      <c r="H305" t="s">
        <v>270</v>
      </c>
      <c r="I305" t="s">
        <v>1009</v>
      </c>
    </row>
    <row r="306" spans="1:9" x14ac:dyDescent="0.25">
      <c r="A306" t="s">
        <v>1010</v>
      </c>
      <c r="B306" t="s">
        <v>1011</v>
      </c>
      <c r="D306" t="s">
        <v>46</v>
      </c>
      <c r="E306" t="s">
        <v>717</v>
      </c>
      <c r="F306" t="s">
        <v>279</v>
      </c>
      <c r="G306" s="5">
        <v>124500</v>
      </c>
      <c r="H306" t="s">
        <v>270</v>
      </c>
      <c r="I306" t="s">
        <v>1012</v>
      </c>
    </row>
    <row r="307" spans="1:9" x14ac:dyDescent="0.25">
      <c r="A307" t="s">
        <v>1013</v>
      </c>
      <c r="B307" t="s">
        <v>1014</v>
      </c>
      <c r="D307" t="s">
        <v>46</v>
      </c>
      <c r="E307" t="s">
        <v>694</v>
      </c>
      <c r="F307" t="s">
        <v>262</v>
      </c>
      <c r="G307" s="5">
        <v>141000</v>
      </c>
      <c r="H307" t="s">
        <v>270</v>
      </c>
      <c r="I307" t="s">
        <v>427</v>
      </c>
    </row>
    <row r="308" spans="1:9" hidden="1" x14ac:dyDescent="0.25">
      <c r="A308" t="s">
        <v>1015</v>
      </c>
      <c r="B308" t="s">
        <v>776</v>
      </c>
      <c r="D308" t="s">
        <v>48</v>
      </c>
      <c r="E308" t="s">
        <v>1016</v>
      </c>
      <c r="F308" t="s">
        <v>262</v>
      </c>
      <c r="G308" s="5">
        <v>120000</v>
      </c>
      <c r="H308" t="s">
        <v>270</v>
      </c>
      <c r="I308" t="s">
        <v>347</v>
      </c>
    </row>
    <row r="309" spans="1:9" hidden="1" x14ac:dyDescent="0.25">
      <c r="A309" t="s">
        <v>1017</v>
      </c>
      <c r="B309" t="s">
        <v>1018</v>
      </c>
      <c r="D309" t="s">
        <v>48</v>
      </c>
      <c r="E309" t="s">
        <v>1019</v>
      </c>
      <c r="F309" t="s">
        <v>418</v>
      </c>
      <c r="G309" s="5">
        <v>243500</v>
      </c>
      <c r="H309" t="s">
        <v>270</v>
      </c>
      <c r="I309" t="s">
        <v>591</v>
      </c>
    </row>
    <row r="310" spans="1:9" hidden="1" x14ac:dyDescent="0.25">
      <c r="A310" t="s">
        <v>1020</v>
      </c>
      <c r="B310" t="s">
        <v>906</v>
      </c>
      <c r="D310" t="s">
        <v>48</v>
      </c>
      <c r="E310" t="s">
        <v>1021</v>
      </c>
      <c r="F310" t="s">
        <v>279</v>
      </c>
      <c r="G310" s="5">
        <v>95000</v>
      </c>
      <c r="H310" t="s">
        <v>270</v>
      </c>
      <c r="I310" t="s">
        <v>975</v>
      </c>
    </row>
    <row r="311" spans="1:9" hidden="1" x14ac:dyDescent="0.25">
      <c r="A311" t="s">
        <v>1022</v>
      </c>
      <c r="B311" t="s">
        <v>1023</v>
      </c>
      <c r="D311" t="s">
        <v>48</v>
      </c>
      <c r="E311" t="s">
        <v>1024</v>
      </c>
      <c r="F311" t="s">
        <v>262</v>
      </c>
      <c r="G311" s="5">
        <v>109500</v>
      </c>
      <c r="H311" t="s">
        <v>270</v>
      </c>
      <c r="I311" t="s">
        <v>287</v>
      </c>
    </row>
    <row r="312" spans="1:9" hidden="1" x14ac:dyDescent="0.25">
      <c r="A312" t="s">
        <v>1025</v>
      </c>
      <c r="B312" t="s">
        <v>983</v>
      </c>
      <c r="D312" t="s">
        <v>48</v>
      </c>
      <c r="E312" t="s">
        <v>1026</v>
      </c>
      <c r="F312" t="s">
        <v>262</v>
      </c>
      <c r="G312" s="5">
        <v>104000</v>
      </c>
      <c r="H312" t="s">
        <v>270</v>
      </c>
      <c r="I312" t="s">
        <v>473</v>
      </c>
    </row>
    <row r="313" spans="1:9" hidden="1" x14ac:dyDescent="0.25">
      <c r="A313" t="s">
        <v>1027</v>
      </c>
      <c r="B313" t="s">
        <v>1028</v>
      </c>
      <c r="D313" t="s">
        <v>48</v>
      </c>
      <c r="E313" t="s">
        <v>1026</v>
      </c>
      <c r="F313" t="s">
        <v>262</v>
      </c>
      <c r="G313" s="5">
        <v>117000</v>
      </c>
      <c r="H313" t="s">
        <v>270</v>
      </c>
      <c r="I313" t="s">
        <v>1029</v>
      </c>
    </row>
    <row r="314" spans="1:9" hidden="1" x14ac:dyDescent="0.25">
      <c r="A314" t="s">
        <v>1030</v>
      </c>
      <c r="B314" t="s">
        <v>1031</v>
      </c>
      <c r="D314" t="s">
        <v>48</v>
      </c>
      <c r="E314" t="s">
        <v>1024</v>
      </c>
      <c r="F314" t="s">
        <v>262</v>
      </c>
      <c r="G314" s="5">
        <v>104000</v>
      </c>
      <c r="H314" t="s">
        <v>270</v>
      </c>
      <c r="I314" t="s">
        <v>833</v>
      </c>
    </row>
    <row r="315" spans="1:9" hidden="1" x14ac:dyDescent="0.25">
      <c r="A315" t="s">
        <v>1032</v>
      </c>
      <c r="B315" t="s">
        <v>1033</v>
      </c>
      <c r="D315" t="s">
        <v>48</v>
      </c>
      <c r="E315" t="s">
        <v>1026</v>
      </c>
      <c r="F315" t="s">
        <v>290</v>
      </c>
      <c r="G315" s="5">
        <v>151500</v>
      </c>
      <c r="H315" t="s">
        <v>270</v>
      </c>
      <c r="I315" t="s">
        <v>336</v>
      </c>
    </row>
    <row r="316" spans="1:9" hidden="1" x14ac:dyDescent="0.25">
      <c r="A316" t="s">
        <v>1034</v>
      </c>
      <c r="B316" t="s">
        <v>686</v>
      </c>
      <c r="D316" t="s">
        <v>48</v>
      </c>
      <c r="E316" t="s">
        <v>1019</v>
      </c>
      <c r="F316" t="s">
        <v>269</v>
      </c>
      <c r="G316" s="5">
        <v>124000</v>
      </c>
      <c r="H316" t="s">
        <v>270</v>
      </c>
      <c r="I316" t="s">
        <v>1035</v>
      </c>
    </row>
    <row r="317" spans="1:9" hidden="1" x14ac:dyDescent="0.25">
      <c r="A317" t="s">
        <v>1036</v>
      </c>
      <c r="B317" t="s">
        <v>1037</v>
      </c>
      <c r="D317" t="s">
        <v>48</v>
      </c>
      <c r="E317" t="s">
        <v>1019</v>
      </c>
      <c r="F317" t="s">
        <v>262</v>
      </c>
      <c r="G317" s="5">
        <v>113500</v>
      </c>
      <c r="H317" t="s">
        <v>270</v>
      </c>
      <c r="I317" t="s">
        <v>303</v>
      </c>
    </row>
    <row r="318" spans="1:9" hidden="1" x14ac:dyDescent="0.25">
      <c r="A318" t="s">
        <v>1038</v>
      </c>
      <c r="B318" t="s">
        <v>1039</v>
      </c>
      <c r="D318" t="s">
        <v>48</v>
      </c>
      <c r="E318" t="s">
        <v>1024</v>
      </c>
      <c r="F318" t="s">
        <v>269</v>
      </c>
      <c r="G318" s="5">
        <v>131000</v>
      </c>
      <c r="H318" t="s">
        <v>270</v>
      </c>
      <c r="I318" t="s">
        <v>770</v>
      </c>
    </row>
    <row r="319" spans="1:9" hidden="1" x14ac:dyDescent="0.25">
      <c r="A319" t="s">
        <v>1040</v>
      </c>
      <c r="B319" t="s">
        <v>1023</v>
      </c>
      <c r="D319" t="s">
        <v>48</v>
      </c>
      <c r="E319" t="s">
        <v>1016</v>
      </c>
      <c r="F319" t="s">
        <v>269</v>
      </c>
      <c r="G319" s="5">
        <v>133000</v>
      </c>
      <c r="H319" t="s">
        <v>270</v>
      </c>
      <c r="I319" t="s">
        <v>642</v>
      </c>
    </row>
    <row r="320" spans="1:9" hidden="1" x14ac:dyDescent="0.25">
      <c r="A320" t="s">
        <v>1041</v>
      </c>
      <c r="B320" t="s">
        <v>480</v>
      </c>
      <c r="D320" t="s">
        <v>48</v>
      </c>
      <c r="E320" t="s">
        <v>1021</v>
      </c>
      <c r="F320" t="s">
        <v>262</v>
      </c>
      <c r="G320" s="5">
        <v>106000</v>
      </c>
      <c r="H320" t="s">
        <v>270</v>
      </c>
      <c r="I320" t="s">
        <v>764</v>
      </c>
    </row>
    <row r="321" spans="1:9" hidden="1" x14ac:dyDescent="0.25">
      <c r="A321" t="s">
        <v>1042</v>
      </c>
      <c r="B321" t="s">
        <v>1043</v>
      </c>
      <c r="D321" t="s">
        <v>48</v>
      </c>
      <c r="E321" t="s">
        <v>1044</v>
      </c>
      <c r="F321" t="s">
        <v>269</v>
      </c>
      <c r="G321" s="5">
        <v>126500</v>
      </c>
      <c r="H321" t="s">
        <v>270</v>
      </c>
      <c r="I321" t="s">
        <v>1045</v>
      </c>
    </row>
    <row r="322" spans="1:9" hidden="1" x14ac:dyDescent="0.25">
      <c r="A322" t="s">
        <v>1046</v>
      </c>
      <c r="B322" t="s">
        <v>372</v>
      </c>
      <c r="D322" t="s">
        <v>48</v>
      </c>
      <c r="E322" t="s">
        <v>1024</v>
      </c>
      <c r="F322" t="s">
        <v>274</v>
      </c>
      <c r="G322" s="5">
        <v>186000</v>
      </c>
      <c r="H322" t="s">
        <v>270</v>
      </c>
      <c r="I322" t="s">
        <v>280</v>
      </c>
    </row>
    <row r="323" spans="1:9" hidden="1" x14ac:dyDescent="0.25">
      <c r="A323" t="s">
        <v>1047</v>
      </c>
      <c r="B323" t="s">
        <v>507</v>
      </c>
      <c r="D323" t="s">
        <v>48</v>
      </c>
      <c r="E323" t="s">
        <v>1044</v>
      </c>
      <c r="F323" t="s">
        <v>262</v>
      </c>
      <c r="G323" s="5">
        <v>105000</v>
      </c>
      <c r="H323" t="s">
        <v>270</v>
      </c>
      <c r="I323" t="s">
        <v>1048</v>
      </c>
    </row>
    <row r="324" spans="1:9" hidden="1" x14ac:dyDescent="0.25">
      <c r="A324" t="s">
        <v>1049</v>
      </c>
      <c r="B324" t="s">
        <v>1050</v>
      </c>
      <c r="D324" t="s">
        <v>48</v>
      </c>
      <c r="E324" t="s">
        <v>1026</v>
      </c>
      <c r="F324" t="s">
        <v>269</v>
      </c>
      <c r="G324" s="5">
        <v>131000</v>
      </c>
      <c r="H324" t="s">
        <v>270</v>
      </c>
      <c r="I324" t="s">
        <v>658</v>
      </c>
    </row>
    <row r="325" spans="1:9" hidden="1" x14ac:dyDescent="0.25">
      <c r="A325" t="s">
        <v>1051</v>
      </c>
      <c r="B325" t="s">
        <v>1052</v>
      </c>
      <c r="D325" t="s">
        <v>48</v>
      </c>
      <c r="E325" t="s">
        <v>1021</v>
      </c>
      <c r="F325" t="s">
        <v>262</v>
      </c>
      <c r="G325" s="5">
        <v>109000</v>
      </c>
      <c r="H325" t="s">
        <v>270</v>
      </c>
      <c r="I325" t="s">
        <v>1006</v>
      </c>
    </row>
    <row r="326" spans="1:9" hidden="1" x14ac:dyDescent="0.25">
      <c r="A326" t="s">
        <v>1053</v>
      </c>
      <c r="B326" t="s">
        <v>1054</v>
      </c>
      <c r="D326" t="s">
        <v>48</v>
      </c>
      <c r="E326" t="s">
        <v>1044</v>
      </c>
      <c r="F326" t="s">
        <v>279</v>
      </c>
      <c r="G326" s="5">
        <v>102000</v>
      </c>
      <c r="H326" t="s">
        <v>270</v>
      </c>
      <c r="I326" t="s">
        <v>327</v>
      </c>
    </row>
    <row r="327" spans="1:9" hidden="1" x14ac:dyDescent="0.25">
      <c r="A327" t="s">
        <v>1055</v>
      </c>
      <c r="B327" t="s">
        <v>1056</v>
      </c>
      <c r="D327" t="s">
        <v>48</v>
      </c>
      <c r="E327" t="s">
        <v>1019</v>
      </c>
      <c r="F327" t="s">
        <v>279</v>
      </c>
      <c r="G327" s="5">
        <v>92000</v>
      </c>
      <c r="H327" t="s">
        <v>270</v>
      </c>
      <c r="I327" t="s">
        <v>1029</v>
      </c>
    </row>
    <row r="328" spans="1:9" hidden="1" x14ac:dyDescent="0.25">
      <c r="A328" t="s">
        <v>1057</v>
      </c>
      <c r="B328" t="s">
        <v>635</v>
      </c>
      <c r="D328" t="s">
        <v>48</v>
      </c>
      <c r="E328" t="s">
        <v>1044</v>
      </c>
      <c r="F328" t="s">
        <v>262</v>
      </c>
      <c r="G328" s="5">
        <v>122000</v>
      </c>
      <c r="H328" t="s">
        <v>270</v>
      </c>
      <c r="I328" t="s">
        <v>481</v>
      </c>
    </row>
    <row r="329" spans="1:9" hidden="1" x14ac:dyDescent="0.25">
      <c r="A329" t="s">
        <v>1058</v>
      </c>
      <c r="B329" t="s">
        <v>1059</v>
      </c>
      <c r="D329" t="s">
        <v>48</v>
      </c>
      <c r="E329" t="s">
        <v>1026</v>
      </c>
      <c r="F329" t="s">
        <v>290</v>
      </c>
      <c r="G329" s="5">
        <v>149000</v>
      </c>
      <c r="H329" t="s">
        <v>270</v>
      </c>
      <c r="I329" t="s">
        <v>617</v>
      </c>
    </row>
    <row r="330" spans="1:9" hidden="1" x14ac:dyDescent="0.25">
      <c r="A330" t="s">
        <v>1060</v>
      </c>
      <c r="B330" t="s">
        <v>1061</v>
      </c>
      <c r="D330" t="s">
        <v>48</v>
      </c>
      <c r="E330" t="s">
        <v>1024</v>
      </c>
      <c r="F330" t="s">
        <v>262</v>
      </c>
      <c r="G330" s="5">
        <v>123500</v>
      </c>
      <c r="H330" t="s">
        <v>270</v>
      </c>
      <c r="I330" t="s">
        <v>1035</v>
      </c>
    </row>
    <row r="331" spans="1:9" hidden="1" x14ac:dyDescent="0.25">
      <c r="A331" t="s">
        <v>1062</v>
      </c>
      <c r="B331" t="s">
        <v>338</v>
      </c>
      <c r="D331" t="s">
        <v>48</v>
      </c>
      <c r="E331" t="s">
        <v>1026</v>
      </c>
      <c r="F331" t="s">
        <v>290</v>
      </c>
      <c r="G331" s="5">
        <v>172500</v>
      </c>
      <c r="H331" t="s">
        <v>270</v>
      </c>
      <c r="I331" t="s">
        <v>535</v>
      </c>
    </row>
    <row r="332" spans="1:9" hidden="1" x14ac:dyDescent="0.25">
      <c r="A332" t="s">
        <v>1063</v>
      </c>
      <c r="B332" t="s">
        <v>1064</v>
      </c>
      <c r="D332" t="s">
        <v>48</v>
      </c>
      <c r="E332" t="s">
        <v>1019</v>
      </c>
      <c r="F332" t="s">
        <v>262</v>
      </c>
      <c r="G332" s="5">
        <v>116500</v>
      </c>
      <c r="H332" t="s">
        <v>270</v>
      </c>
      <c r="I332" t="s">
        <v>409</v>
      </c>
    </row>
    <row r="333" spans="1:9" hidden="1" x14ac:dyDescent="0.25">
      <c r="A333" t="s">
        <v>1065</v>
      </c>
      <c r="B333" t="s">
        <v>1066</v>
      </c>
      <c r="D333" t="s">
        <v>48</v>
      </c>
      <c r="E333" t="s">
        <v>1021</v>
      </c>
      <c r="F333" t="s">
        <v>269</v>
      </c>
      <c r="G333" s="5">
        <v>147000</v>
      </c>
      <c r="H333" t="s">
        <v>270</v>
      </c>
      <c r="I333" t="s">
        <v>339</v>
      </c>
    </row>
    <row r="334" spans="1:9" hidden="1" x14ac:dyDescent="0.25">
      <c r="A334" t="s">
        <v>1067</v>
      </c>
      <c r="B334" t="s">
        <v>929</v>
      </c>
      <c r="D334" t="s">
        <v>48</v>
      </c>
      <c r="E334" t="s">
        <v>1024</v>
      </c>
      <c r="F334" t="s">
        <v>262</v>
      </c>
      <c r="G334" s="5">
        <v>105000</v>
      </c>
      <c r="H334" t="s">
        <v>270</v>
      </c>
      <c r="I334" t="s">
        <v>381</v>
      </c>
    </row>
    <row r="335" spans="1:9" hidden="1" x14ac:dyDescent="0.25">
      <c r="A335" t="s">
        <v>1068</v>
      </c>
      <c r="B335" t="s">
        <v>1069</v>
      </c>
      <c r="D335" t="s">
        <v>48</v>
      </c>
      <c r="E335" t="s">
        <v>1016</v>
      </c>
      <c r="F335" t="s">
        <v>269</v>
      </c>
      <c r="G335" s="5">
        <v>141500</v>
      </c>
      <c r="H335" t="s">
        <v>270</v>
      </c>
      <c r="I335" t="s">
        <v>359</v>
      </c>
    </row>
    <row r="336" spans="1:9" hidden="1" x14ac:dyDescent="0.25">
      <c r="A336" t="s">
        <v>1070</v>
      </c>
      <c r="B336" t="s">
        <v>1071</v>
      </c>
      <c r="D336" t="s">
        <v>48</v>
      </c>
      <c r="E336" t="s">
        <v>1019</v>
      </c>
      <c r="F336" t="s">
        <v>269</v>
      </c>
      <c r="G336" s="5">
        <v>133500</v>
      </c>
      <c r="H336" t="s">
        <v>270</v>
      </c>
      <c r="I336" t="s">
        <v>1072</v>
      </c>
    </row>
    <row r="337" spans="1:9" hidden="1" x14ac:dyDescent="0.25">
      <c r="A337" t="s">
        <v>1073</v>
      </c>
      <c r="B337" t="s">
        <v>1074</v>
      </c>
      <c r="D337" t="s">
        <v>48</v>
      </c>
      <c r="E337" t="s">
        <v>1044</v>
      </c>
      <c r="F337" t="s">
        <v>262</v>
      </c>
      <c r="G337" s="5">
        <v>109500</v>
      </c>
      <c r="H337" t="s">
        <v>270</v>
      </c>
      <c r="I337" t="s">
        <v>759</v>
      </c>
    </row>
    <row r="338" spans="1:9" hidden="1" x14ac:dyDescent="0.25">
      <c r="A338" t="s">
        <v>1075</v>
      </c>
      <c r="B338" t="s">
        <v>1076</v>
      </c>
      <c r="D338" t="s">
        <v>48</v>
      </c>
      <c r="E338" t="s">
        <v>1044</v>
      </c>
      <c r="F338" t="s">
        <v>418</v>
      </c>
      <c r="G338" s="5">
        <v>241000</v>
      </c>
      <c r="H338" t="s">
        <v>270</v>
      </c>
      <c r="I338" t="s">
        <v>767</v>
      </c>
    </row>
    <row r="339" spans="1:9" hidden="1" x14ac:dyDescent="0.25">
      <c r="A339" t="s">
        <v>1077</v>
      </c>
      <c r="B339" t="s">
        <v>1078</v>
      </c>
      <c r="D339" t="s">
        <v>48</v>
      </c>
      <c r="E339" t="s">
        <v>1016</v>
      </c>
      <c r="F339" t="s">
        <v>262</v>
      </c>
      <c r="G339" s="5">
        <v>106500</v>
      </c>
      <c r="H339" t="s">
        <v>270</v>
      </c>
      <c r="I339" t="s">
        <v>470</v>
      </c>
    </row>
    <row r="340" spans="1:9" hidden="1" x14ac:dyDescent="0.25">
      <c r="A340" t="s">
        <v>1079</v>
      </c>
      <c r="B340" t="s">
        <v>614</v>
      </c>
      <c r="D340" t="s">
        <v>48</v>
      </c>
      <c r="E340" t="s">
        <v>1026</v>
      </c>
      <c r="F340" t="s">
        <v>279</v>
      </c>
      <c r="G340" s="5">
        <v>101500</v>
      </c>
      <c r="H340" t="s">
        <v>270</v>
      </c>
      <c r="I340" t="s">
        <v>1080</v>
      </c>
    </row>
    <row r="341" spans="1:9" hidden="1" x14ac:dyDescent="0.25">
      <c r="A341" t="s">
        <v>1081</v>
      </c>
      <c r="B341" t="s">
        <v>1082</v>
      </c>
      <c r="D341" t="s">
        <v>48</v>
      </c>
      <c r="E341" t="s">
        <v>1044</v>
      </c>
      <c r="F341" t="s">
        <v>269</v>
      </c>
      <c r="G341" s="5">
        <v>120500</v>
      </c>
      <c r="H341" t="s">
        <v>270</v>
      </c>
      <c r="I341" t="s">
        <v>315</v>
      </c>
    </row>
    <row r="342" spans="1:9" hidden="1" x14ac:dyDescent="0.25">
      <c r="A342" t="s">
        <v>1083</v>
      </c>
      <c r="B342" t="s">
        <v>1084</v>
      </c>
      <c r="D342" t="s">
        <v>48</v>
      </c>
      <c r="E342" t="s">
        <v>1026</v>
      </c>
      <c r="F342" t="s">
        <v>269</v>
      </c>
      <c r="G342" s="5">
        <v>143500</v>
      </c>
      <c r="H342" t="s">
        <v>270</v>
      </c>
      <c r="I342" t="s">
        <v>1085</v>
      </c>
    </row>
    <row r="343" spans="1:9" hidden="1" x14ac:dyDescent="0.25">
      <c r="A343" t="s">
        <v>1086</v>
      </c>
      <c r="B343" t="s">
        <v>1087</v>
      </c>
      <c r="D343" t="s">
        <v>48</v>
      </c>
      <c r="E343" t="s">
        <v>1026</v>
      </c>
      <c r="F343" t="s">
        <v>262</v>
      </c>
      <c r="G343" s="5">
        <v>115000</v>
      </c>
      <c r="H343" t="s">
        <v>270</v>
      </c>
      <c r="I343" t="s">
        <v>415</v>
      </c>
    </row>
    <row r="344" spans="1:9" hidden="1" x14ac:dyDescent="0.25">
      <c r="A344" t="s">
        <v>1088</v>
      </c>
      <c r="B344" t="s">
        <v>1089</v>
      </c>
      <c r="D344" t="s">
        <v>48</v>
      </c>
      <c r="E344" t="s">
        <v>1044</v>
      </c>
      <c r="F344" t="s">
        <v>262</v>
      </c>
      <c r="G344" s="5">
        <v>116000</v>
      </c>
      <c r="H344" t="s">
        <v>270</v>
      </c>
      <c r="I344" t="s">
        <v>770</v>
      </c>
    </row>
    <row r="345" spans="1:9" hidden="1" x14ac:dyDescent="0.25">
      <c r="A345" t="s">
        <v>1090</v>
      </c>
      <c r="B345" t="s">
        <v>1091</v>
      </c>
      <c r="D345" t="s">
        <v>48</v>
      </c>
      <c r="E345" t="s">
        <v>1016</v>
      </c>
      <c r="F345" t="s">
        <v>274</v>
      </c>
      <c r="G345" s="5">
        <v>183500</v>
      </c>
      <c r="H345" t="s">
        <v>270</v>
      </c>
      <c r="I345" t="s">
        <v>545</v>
      </c>
    </row>
    <row r="346" spans="1:9" hidden="1" x14ac:dyDescent="0.25">
      <c r="A346" t="s">
        <v>1092</v>
      </c>
      <c r="B346" t="s">
        <v>1093</v>
      </c>
      <c r="D346" t="s">
        <v>48</v>
      </c>
      <c r="E346" t="s">
        <v>1026</v>
      </c>
      <c r="F346" t="s">
        <v>269</v>
      </c>
      <c r="G346" s="5">
        <v>126000</v>
      </c>
      <c r="H346" t="s">
        <v>270</v>
      </c>
      <c r="I346" t="s">
        <v>1035</v>
      </c>
    </row>
    <row r="347" spans="1:9" hidden="1" x14ac:dyDescent="0.25">
      <c r="A347" t="s">
        <v>1094</v>
      </c>
      <c r="B347" t="s">
        <v>1095</v>
      </c>
      <c r="D347" t="s">
        <v>48</v>
      </c>
      <c r="E347" t="s">
        <v>1026</v>
      </c>
      <c r="F347" t="s">
        <v>279</v>
      </c>
      <c r="G347" s="5">
        <v>95500</v>
      </c>
      <c r="H347" t="s">
        <v>270</v>
      </c>
      <c r="I347" t="s">
        <v>1096</v>
      </c>
    </row>
    <row r="348" spans="1:9" hidden="1" x14ac:dyDescent="0.25">
      <c r="A348" t="s">
        <v>1097</v>
      </c>
      <c r="B348" t="s">
        <v>1098</v>
      </c>
      <c r="D348" t="s">
        <v>48</v>
      </c>
      <c r="E348" t="s">
        <v>1044</v>
      </c>
      <c r="F348" t="s">
        <v>269</v>
      </c>
      <c r="G348" s="5">
        <v>123000</v>
      </c>
      <c r="H348" t="s">
        <v>270</v>
      </c>
      <c r="I348" t="s">
        <v>1099</v>
      </c>
    </row>
    <row r="349" spans="1:9" hidden="1" x14ac:dyDescent="0.25">
      <c r="A349" t="s">
        <v>1100</v>
      </c>
      <c r="B349" t="s">
        <v>1052</v>
      </c>
      <c r="D349" t="s">
        <v>48</v>
      </c>
      <c r="E349" t="s">
        <v>1026</v>
      </c>
      <c r="F349" t="s">
        <v>279</v>
      </c>
      <c r="G349" s="5">
        <v>101500</v>
      </c>
      <c r="H349" t="s">
        <v>270</v>
      </c>
      <c r="I349" t="s">
        <v>395</v>
      </c>
    </row>
    <row r="350" spans="1:9" hidden="1" x14ac:dyDescent="0.25">
      <c r="A350" t="s">
        <v>1101</v>
      </c>
      <c r="B350" t="s">
        <v>956</v>
      </c>
      <c r="D350" t="s">
        <v>50</v>
      </c>
      <c r="E350" t="s">
        <v>1102</v>
      </c>
      <c r="F350" t="s">
        <v>279</v>
      </c>
      <c r="G350" s="5">
        <v>54000</v>
      </c>
      <c r="H350" t="s">
        <v>270</v>
      </c>
      <c r="I350" t="s">
        <v>1009</v>
      </c>
    </row>
    <row r="351" spans="1:9" hidden="1" x14ac:dyDescent="0.25">
      <c r="A351" t="s">
        <v>1103</v>
      </c>
      <c r="B351" t="s">
        <v>1104</v>
      </c>
      <c r="D351" t="s">
        <v>50</v>
      </c>
      <c r="E351" t="s">
        <v>1105</v>
      </c>
      <c r="F351" t="s">
        <v>269</v>
      </c>
      <c r="G351" s="5">
        <v>72500</v>
      </c>
      <c r="H351" t="s">
        <v>270</v>
      </c>
      <c r="I351" t="s">
        <v>658</v>
      </c>
    </row>
    <row r="352" spans="1:9" hidden="1" x14ac:dyDescent="0.25">
      <c r="A352" t="s">
        <v>1106</v>
      </c>
      <c r="B352" t="s">
        <v>1107</v>
      </c>
      <c r="D352" t="s">
        <v>50</v>
      </c>
      <c r="E352" t="s">
        <v>1105</v>
      </c>
      <c r="F352" t="s">
        <v>279</v>
      </c>
      <c r="G352" s="5">
        <v>59000</v>
      </c>
      <c r="H352" t="s">
        <v>270</v>
      </c>
      <c r="I352" t="s">
        <v>852</v>
      </c>
    </row>
    <row r="353" spans="1:9" hidden="1" x14ac:dyDescent="0.25">
      <c r="A353" t="s">
        <v>1108</v>
      </c>
      <c r="B353" t="s">
        <v>1109</v>
      </c>
      <c r="D353" t="s">
        <v>50</v>
      </c>
      <c r="E353" t="s">
        <v>1105</v>
      </c>
      <c r="F353" t="s">
        <v>269</v>
      </c>
      <c r="G353" s="5">
        <v>70500</v>
      </c>
      <c r="H353" t="s">
        <v>270</v>
      </c>
      <c r="I353" t="s">
        <v>490</v>
      </c>
    </row>
    <row r="354" spans="1:9" hidden="1" x14ac:dyDescent="0.25">
      <c r="A354" t="s">
        <v>1110</v>
      </c>
      <c r="B354" t="s">
        <v>1043</v>
      </c>
      <c r="D354" t="s">
        <v>50</v>
      </c>
      <c r="E354" t="s">
        <v>1111</v>
      </c>
      <c r="F354" t="s">
        <v>279</v>
      </c>
      <c r="G354" s="5">
        <v>52500</v>
      </c>
      <c r="H354" t="s">
        <v>270</v>
      </c>
      <c r="I354" t="s">
        <v>862</v>
      </c>
    </row>
    <row r="355" spans="1:9" hidden="1" x14ac:dyDescent="0.25">
      <c r="A355" t="s">
        <v>1112</v>
      </c>
      <c r="B355" t="s">
        <v>1113</v>
      </c>
      <c r="D355" t="s">
        <v>50</v>
      </c>
      <c r="E355" t="s">
        <v>1105</v>
      </c>
      <c r="F355" t="s">
        <v>279</v>
      </c>
      <c r="G355" s="5">
        <v>59000</v>
      </c>
      <c r="H355" t="s">
        <v>270</v>
      </c>
      <c r="I355" t="s">
        <v>892</v>
      </c>
    </row>
    <row r="356" spans="1:9" hidden="1" x14ac:dyDescent="0.25">
      <c r="A356" t="s">
        <v>1114</v>
      </c>
      <c r="B356" t="s">
        <v>820</v>
      </c>
      <c r="D356" t="s">
        <v>50</v>
      </c>
      <c r="E356" t="s">
        <v>1111</v>
      </c>
      <c r="F356" t="s">
        <v>262</v>
      </c>
      <c r="G356" s="5">
        <v>68000</v>
      </c>
      <c r="H356" t="s">
        <v>270</v>
      </c>
      <c r="I356" t="s">
        <v>368</v>
      </c>
    </row>
    <row r="357" spans="1:9" hidden="1" x14ac:dyDescent="0.25">
      <c r="A357" t="s">
        <v>1115</v>
      </c>
      <c r="B357" t="s">
        <v>1116</v>
      </c>
      <c r="D357" t="s">
        <v>50</v>
      </c>
      <c r="E357" t="s">
        <v>1102</v>
      </c>
      <c r="F357" t="s">
        <v>290</v>
      </c>
      <c r="G357" s="5">
        <v>89000</v>
      </c>
      <c r="H357" t="s">
        <v>270</v>
      </c>
      <c r="I357" t="s">
        <v>362</v>
      </c>
    </row>
    <row r="358" spans="1:9" hidden="1" x14ac:dyDescent="0.25">
      <c r="A358" t="s">
        <v>1117</v>
      </c>
      <c r="B358" t="s">
        <v>824</v>
      </c>
      <c r="D358" t="s">
        <v>50</v>
      </c>
      <c r="E358" t="s">
        <v>1111</v>
      </c>
      <c r="F358" t="s">
        <v>269</v>
      </c>
      <c r="G358" s="5">
        <v>79000</v>
      </c>
      <c r="H358" t="s">
        <v>270</v>
      </c>
      <c r="I358" t="s">
        <v>1118</v>
      </c>
    </row>
    <row r="359" spans="1:9" hidden="1" x14ac:dyDescent="0.25">
      <c r="A359" t="s">
        <v>1119</v>
      </c>
      <c r="B359" t="s">
        <v>1120</v>
      </c>
      <c r="D359" t="s">
        <v>50</v>
      </c>
      <c r="E359" t="s">
        <v>1105</v>
      </c>
      <c r="F359" t="s">
        <v>279</v>
      </c>
      <c r="G359" s="5">
        <v>51000</v>
      </c>
      <c r="H359" t="s">
        <v>270</v>
      </c>
      <c r="I359" t="s">
        <v>840</v>
      </c>
    </row>
    <row r="360" spans="1:9" hidden="1" x14ac:dyDescent="0.25">
      <c r="A360" t="s">
        <v>1121</v>
      </c>
      <c r="B360" t="s">
        <v>1122</v>
      </c>
      <c r="D360" t="s">
        <v>50</v>
      </c>
      <c r="E360" t="s">
        <v>1111</v>
      </c>
      <c r="F360" t="s">
        <v>279</v>
      </c>
      <c r="G360" s="5">
        <v>57500</v>
      </c>
      <c r="H360" t="s">
        <v>270</v>
      </c>
      <c r="I360" t="s">
        <v>642</v>
      </c>
    </row>
    <row r="361" spans="1:9" hidden="1" x14ac:dyDescent="0.25">
      <c r="A361" t="s">
        <v>1123</v>
      </c>
      <c r="B361" t="s">
        <v>1124</v>
      </c>
      <c r="D361" t="s">
        <v>50</v>
      </c>
      <c r="E361" t="s">
        <v>1111</v>
      </c>
      <c r="F361" t="s">
        <v>262</v>
      </c>
      <c r="G361" s="5">
        <v>62000</v>
      </c>
      <c r="H361" t="s">
        <v>270</v>
      </c>
      <c r="I361" t="s">
        <v>347</v>
      </c>
    </row>
    <row r="362" spans="1:9" hidden="1" x14ac:dyDescent="0.25">
      <c r="A362" t="s">
        <v>1125</v>
      </c>
      <c r="B362" t="s">
        <v>1126</v>
      </c>
      <c r="D362" t="s">
        <v>50</v>
      </c>
      <c r="E362" t="s">
        <v>1105</v>
      </c>
      <c r="F362" t="s">
        <v>279</v>
      </c>
      <c r="G362" s="5">
        <v>61000</v>
      </c>
      <c r="H362" t="s">
        <v>270</v>
      </c>
      <c r="I362" t="s">
        <v>749</v>
      </c>
    </row>
    <row r="363" spans="1:9" hidden="1" x14ac:dyDescent="0.25">
      <c r="A363" t="s">
        <v>1127</v>
      </c>
      <c r="B363" t="s">
        <v>1128</v>
      </c>
      <c r="D363" t="s">
        <v>50</v>
      </c>
      <c r="E363" t="s">
        <v>1111</v>
      </c>
      <c r="F363" t="s">
        <v>269</v>
      </c>
      <c r="G363" s="5">
        <v>69500</v>
      </c>
      <c r="H363" t="s">
        <v>270</v>
      </c>
      <c r="I363" t="s">
        <v>802</v>
      </c>
    </row>
    <row r="364" spans="1:9" hidden="1" x14ac:dyDescent="0.25">
      <c r="A364" t="s">
        <v>1129</v>
      </c>
      <c r="B364" t="s">
        <v>1130</v>
      </c>
      <c r="D364" t="s">
        <v>50</v>
      </c>
      <c r="E364" t="s">
        <v>1105</v>
      </c>
      <c r="F364" t="s">
        <v>279</v>
      </c>
      <c r="G364" s="5">
        <v>50000</v>
      </c>
      <c r="H364" t="s">
        <v>270</v>
      </c>
      <c r="I364" t="s">
        <v>498</v>
      </c>
    </row>
    <row r="365" spans="1:9" hidden="1" x14ac:dyDescent="0.25">
      <c r="A365" t="s">
        <v>1131</v>
      </c>
      <c r="B365" t="s">
        <v>1132</v>
      </c>
      <c r="D365" t="s">
        <v>50</v>
      </c>
      <c r="E365" t="s">
        <v>1105</v>
      </c>
      <c r="F365" t="s">
        <v>290</v>
      </c>
      <c r="G365" s="5">
        <v>101000</v>
      </c>
      <c r="H365" t="s">
        <v>270</v>
      </c>
      <c r="I365" t="s">
        <v>729</v>
      </c>
    </row>
    <row r="366" spans="1:9" hidden="1" x14ac:dyDescent="0.25">
      <c r="A366" t="s">
        <v>1133</v>
      </c>
      <c r="B366" t="s">
        <v>1134</v>
      </c>
      <c r="D366" t="s">
        <v>50</v>
      </c>
      <c r="E366" t="s">
        <v>1105</v>
      </c>
      <c r="F366" t="s">
        <v>290</v>
      </c>
      <c r="G366" s="5">
        <v>93500</v>
      </c>
      <c r="H366" t="s">
        <v>270</v>
      </c>
      <c r="I366" t="s">
        <v>892</v>
      </c>
    </row>
    <row r="367" spans="1:9" hidden="1" x14ac:dyDescent="0.25">
      <c r="A367" t="s">
        <v>1135</v>
      </c>
      <c r="B367" t="s">
        <v>1136</v>
      </c>
      <c r="D367" t="s">
        <v>50</v>
      </c>
      <c r="E367" t="s">
        <v>1102</v>
      </c>
      <c r="F367" t="s">
        <v>269</v>
      </c>
      <c r="G367" s="5">
        <v>83000</v>
      </c>
      <c r="H367" t="s">
        <v>270</v>
      </c>
      <c r="I367" t="s">
        <v>1137</v>
      </c>
    </row>
    <row r="368" spans="1:9" hidden="1" x14ac:dyDescent="0.25">
      <c r="A368" t="s">
        <v>1138</v>
      </c>
      <c r="B368" t="s">
        <v>466</v>
      </c>
      <c r="D368" t="s">
        <v>50</v>
      </c>
      <c r="E368" t="s">
        <v>1105</v>
      </c>
      <c r="F368" t="s">
        <v>269</v>
      </c>
      <c r="G368" s="5">
        <v>70000</v>
      </c>
      <c r="H368" t="s">
        <v>270</v>
      </c>
      <c r="I368" t="s">
        <v>1137</v>
      </c>
    </row>
    <row r="369" spans="1:9" hidden="1" x14ac:dyDescent="0.25">
      <c r="A369" t="s">
        <v>1139</v>
      </c>
      <c r="B369" t="s">
        <v>1140</v>
      </c>
      <c r="D369" t="s">
        <v>50</v>
      </c>
      <c r="E369" t="s">
        <v>1111</v>
      </c>
      <c r="F369" t="s">
        <v>269</v>
      </c>
      <c r="G369" s="5">
        <v>83500</v>
      </c>
      <c r="H369" t="s">
        <v>270</v>
      </c>
      <c r="I369" t="s">
        <v>620</v>
      </c>
    </row>
    <row r="370" spans="1:9" hidden="1" x14ac:dyDescent="0.25">
      <c r="A370" t="s">
        <v>1141</v>
      </c>
      <c r="B370" t="s">
        <v>1084</v>
      </c>
      <c r="D370" t="s">
        <v>50</v>
      </c>
      <c r="E370" t="s">
        <v>1111</v>
      </c>
      <c r="F370" t="s">
        <v>274</v>
      </c>
      <c r="G370" s="5">
        <v>108000</v>
      </c>
      <c r="H370" t="s">
        <v>270</v>
      </c>
      <c r="I370" t="s">
        <v>658</v>
      </c>
    </row>
    <row r="371" spans="1:9" hidden="1" x14ac:dyDescent="0.25">
      <c r="A371" t="s">
        <v>1142</v>
      </c>
      <c r="B371" t="s">
        <v>1143</v>
      </c>
      <c r="D371" t="s">
        <v>50</v>
      </c>
      <c r="E371" t="s">
        <v>1105</v>
      </c>
      <c r="F371" t="s">
        <v>262</v>
      </c>
      <c r="G371" s="5">
        <v>65000</v>
      </c>
      <c r="H371" t="s">
        <v>270</v>
      </c>
      <c r="I371" t="s">
        <v>327</v>
      </c>
    </row>
    <row r="372" spans="1:9" hidden="1" x14ac:dyDescent="0.25">
      <c r="A372" t="s">
        <v>1144</v>
      </c>
      <c r="B372" t="s">
        <v>1145</v>
      </c>
      <c r="D372" t="s">
        <v>50</v>
      </c>
      <c r="E372" t="s">
        <v>1111</v>
      </c>
      <c r="F372" t="s">
        <v>269</v>
      </c>
      <c r="G372" s="5">
        <v>74500</v>
      </c>
      <c r="H372" t="s">
        <v>270</v>
      </c>
      <c r="I372" t="s">
        <v>840</v>
      </c>
    </row>
    <row r="373" spans="1:9" hidden="1" x14ac:dyDescent="0.25">
      <c r="A373" t="s">
        <v>1146</v>
      </c>
      <c r="B373" t="s">
        <v>1147</v>
      </c>
      <c r="D373" t="s">
        <v>50</v>
      </c>
      <c r="E373" t="s">
        <v>1105</v>
      </c>
      <c r="F373" t="s">
        <v>262</v>
      </c>
      <c r="G373" s="5">
        <v>67000</v>
      </c>
      <c r="H373" t="s">
        <v>270</v>
      </c>
      <c r="I373" t="s">
        <v>1148</v>
      </c>
    </row>
    <row r="374" spans="1:9" hidden="1" x14ac:dyDescent="0.25">
      <c r="A374" t="s">
        <v>1149</v>
      </c>
      <c r="B374" t="s">
        <v>1150</v>
      </c>
      <c r="D374" t="s">
        <v>50</v>
      </c>
      <c r="E374" t="s">
        <v>1105</v>
      </c>
      <c r="F374" t="s">
        <v>269</v>
      </c>
      <c r="G374" s="5">
        <v>73000</v>
      </c>
      <c r="H374" t="s">
        <v>270</v>
      </c>
      <c r="I374" t="s">
        <v>545</v>
      </c>
    </row>
    <row r="375" spans="1:9" hidden="1" x14ac:dyDescent="0.25">
      <c r="A375" t="s">
        <v>1151</v>
      </c>
      <c r="B375" t="s">
        <v>939</v>
      </c>
      <c r="D375" t="s">
        <v>50</v>
      </c>
      <c r="E375" t="s">
        <v>1111</v>
      </c>
      <c r="F375" t="s">
        <v>279</v>
      </c>
      <c r="G375" s="5">
        <v>51000</v>
      </c>
      <c r="H375" t="s">
        <v>270</v>
      </c>
      <c r="I375" t="s">
        <v>588</v>
      </c>
    </row>
    <row r="376" spans="1:9" hidden="1" x14ac:dyDescent="0.25">
      <c r="A376" t="s">
        <v>1152</v>
      </c>
      <c r="B376" t="s">
        <v>1153</v>
      </c>
      <c r="D376" t="s">
        <v>50</v>
      </c>
      <c r="E376" t="s">
        <v>1111</v>
      </c>
      <c r="F376" t="s">
        <v>269</v>
      </c>
      <c r="G376" s="5">
        <v>75500</v>
      </c>
      <c r="H376" t="s">
        <v>270</v>
      </c>
      <c r="I376" t="s">
        <v>862</v>
      </c>
    </row>
    <row r="377" spans="1:9" hidden="1" x14ac:dyDescent="0.25">
      <c r="A377" t="s">
        <v>1154</v>
      </c>
      <c r="B377" t="s">
        <v>1155</v>
      </c>
      <c r="D377" t="s">
        <v>50</v>
      </c>
      <c r="E377" t="s">
        <v>1111</v>
      </c>
      <c r="F377" t="s">
        <v>262</v>
      </c>
      <c r="G377" s="5">
        <v>64000</v>
      </c>
      <c r="H377" t="s">
        <v>270</v>
      </c>
      <c r="I377" t="s">
        <v>639</v>
      </c>
    </row>
    <row r="378" spans="1:9" hidden="1" x14ac:dyDescent="0.25">
      <c r="A378" t="s">
        <v>1156</v>
      </c>
      <c r="B378" t="s">
        <v>1157</v>
      </c>
      <c r="D378" t="s">
        <v>50</v>
      </c>
      <c r="E378" t="s">
        <v>1102</v>
      </c>
      <c r="F378" t="s">
        <v>262</v>
      </c>
      <c r="G378" s="5">
        <v>63500</v>
      </c>
      <c r="H378" t="s">
        <v>270</v>
      </c>
      <c r="I378" t="s">
        <v>1158</v>
      </c>
    </row>
    <row r="379" spans="1:9" hidden="1" x14ac:dyDescent="0.25">
      <c r="A379" t="s">
        <v>1159</v>
      </c>
      <c r="B379" t="s">
        <v>346</v>
      </c>
      <c r="D379" t="s">
        <v>50</v>
      </c>
      <c r="E379" t="s">
        <v>1105</v>
      </c>
      <c r="F379" t="s">
        <v>290</v>
      </c>
      <c r="G379" s="5">
        <v>101000</v>
      </c>
      <c r="H379" t="s">
        <v>270</v>
      </c>
      <c r="I379" t="s">
        <v>430</v>
      </c>
    </row>
    <row r="380" spans="1:9" hidden="1" x14ac:dyDescent="0.25">
      <c r="A380" t="s">
        <v>1160</v>
      </c>
      <c r="B380" t="s">
        <v>894</v>
      </c>
      <c r="D380" t="s">
        <v>50</v>
      </c>
      <c r="E380" t="s">
        <v>1111</v>
      </c>
      <c r="F380" t="s">
        <v>269</v>
      </c>
      <c r="G380" s="5">
        <v>80000</v>
      </c>
      <c r="H380" t="s">
        <v>270</v>
      </c>
      <c r="I380" t="s">
        <v>538</v>
      </c>
    </row>
    <row r="381" spans="1:9" hidden="1" x14ac:dyDescent="0.25">
      <c r="A381" t="s">
        <v>1161</v>
      </c>
      <c r="B381" t="s">
        <v>1162</v>
      </c>
      <c r="D381" t="s">
        <v>50</v>
      </c>
      <c r="E381" t="s">
        <v>1102</v>
      </c>
      <c r="F381" t="s">
        <v>290</v>
      </c>
      <c r="G381" s="5">
        <v>88500</v>
      </c>
      <c r="H381" t="s">
        <v>270</v>
      </c>
      <c r="I381" t="s">
        <v>710</v>
      </c>
    </row>
    <row r="382" spans="1:9" hidden="1" x14ac:dyDescent="0.25">
      <c r="A382" t="s">
        <v>1163</v>
      </c>
      <c r="B382" t="s">
        <v>1164</v>
      </c>
      <c r="D382" t="s">
        <v>50</v>
      </c>
      <c r="E382" t="s">
        <v>1111</v>
      </c>
      <c r="F382" t="s">
        <v>279</v>
      </c>
      <c r="G382" s="5">
        <v>51000</v>
      </c>
      <c r="H382" t="s">
        <v>270</v>
      </c>
      <c r="I382" t="s">
        <v>1165</v>
      </c>
    </row>
    <row r="383" spans="1:9" hidden="1" x14ac:dyDescent="0.25">
      <c r="A383" t="s">
        <v>1166</v>
      </c>
      <c r="B383" t="s">
        <v>910</v>
      </c>
      <c r="D383" t="s">
        <v>50</v>
      </c>
      <c r="E383" t="s">
        <v>1111</v>
      </c>
      <c r="F383" t="s">
        <v>269</v>
      </c>
      <c r="G383" s="5">
        <v>84000</v>
      </c>
      <c r="H383" t="s">
        <v>270</v>
      </c>
      <c r="I383" t="s">
        <v>875</v>
      </c>
    </row>
    <row r="384" spans="1:9" hidden="1" x14ac:dyDescent="0.25">
      <c r="A384" t="s">
        <v>1167</v>
      </c>
      <c r="B384" t="s">
        <v>1168</v>
      </c>
      <c r="D384" t="s">
        <v>50</v>
      </c>
      <c r="E384" t="s">
        <v>1105</v>
      </c>
      <c r="F384" t="s">
        <v>279</v>
      </c>
      <c r="G384" s="5">
        <v>58000</v>
      </c>
      <c r="H384" t="s">
        <v>270</v>
      </c>
      <c r="I384" t="s">
        <v>318</v>
      </c>
    </row>
    <row r="385" spans="1:10" hidden="1" x14ac:dyDescent="0.25">
      <c r="A385" t="s">
        <v>1169</v>
      </c>
      <c r="B385" t="s">
        <v>1170</v>
      </c>
      <c r="D385" t="s">
        <v>50</v>
      </c>
      <c r="E385" t="s">
        <v>1102</v>
      </c>
      <c r="F385" t="s">
        <v>279</v>
      </c>
      <c r="G385" s="5">
        <v>51500</v>
      </c>
      <c r="H385" t="s">
        <v>270</v>
      </c>
      <c r="I385" t="s">
        <v>825</v>
      </c>
    </row>
    <row r="386" spans="1:10" hidden="1" x14ac:dyDescent="0.25">
      <c r="A386" t="s">
        <v>1171</v>
      </c>
      <c r="B386" t="s">
        <v>1172</v>
      </c>
      <c r="D386" t="s">
        <v>50</v>
      </c>
      <c r="E386" t="s">
        <v>1102</v>
      </c>
      <c r="F386" t="s">
        <v>262</v>
      </c>
      <c r="G386" s="5">
        <v>62000</v>
      </c>
      <c r="H386" t="s">
        <v>270</v>
      </c>
      <c r="I386" t="s">
        <v>1148</v>
      </c>
    </row>
    <row r="387" spans="1:10" hidden="1" x14ac:dyDescent="0.25">
      <c r="A387" t="s">
        <v>1173</v>
      </c>
      <c r="B387" t="s">
        <v>1174</v>
      </c>
      <c r="D387" t="s">
        <v>50</v>
      </c>
      <c r="E387" t="s">
        <v>1105</v>
      </c>
      <c r="F387" t="s">
        <v>290</v>
      </c>
      <c r="G387" s="5">
        <v>99000</v>
      </c>
      <c r="H387" t="s">
        <v>263</v>
      </c>
      <c r="I387" t="s">
        <v>309</v>
      </c>
      <c r="J387" t="s">
        <v>1175</v>
      </c>
    </row>
    <row r="388" spans="1:10" hidden="1" x14ac:dyDescent="0.25">
      <c r="A388" t="s">
        <v>1176</v>
      </c>
      <c r="B388" t="s">
        <v>761</v>
      </c>
      <c r="D388" t="s">
        <v>50</v>
      </c>
      <c r="E388" t="s">
        <v>1102</v>
      </c>
      <c r="F388" t="s">
        <v>274</v>
      </c>
      <c r="G388" s="5">
        <v>97000</v>
      </c>
      <c r="H388" t="s">
        <v>270</v>
      </c>
      <c r="I388" t="s">
        <v>400</v>
      </c>
    </row>
    <row r="389" spans="1:10" hidden="1" x14ac:dyDescent="0.25">
      <c r="A389" t="s">
        <v>1177</v>
      </c>
      <c r="B389" t="s">
        <v>1178</v>
      </c>
      <c r="D389" t="s">
        <v>50</v>
      </c>
      <c r="E389" t="s">
        <v>1111</v>
      </c>
      <c r="F389" t="s">
        <v>274</v>
      </c>
      <c r="G389" s="5">
        <v>109000</v>
      </c>
      <c r="H389" t="s">
        <v>270</v>
      </c>
      <c r="I389" t="s">
        <v>623</v>
      </c>
    </row>
    <row r="390" spans="1:10" hidden="1" x14ac:dyDescent="0.25">
      <c r="A390" t="s">
        <v>1179</v>
      </c>
      <c r="B390" t="s">
        <v>483</v>
      </c>
      <c r="D390" t="s">
        <v>51</v>
      </c>
      <c r="E390" t="s">
        <v>1180</v>
      </c>
      <c r="F390" t="s">
        <v>279</v>
      </c>
      <c r="G390" s="5">
        <v>93500</v>
      </c>
      <c r="H390" t="s">
        <v>270</v>
      </c>
      <c r="I390" t="s">
        <v>464</v>
      </c>
    </row>
    <row r="391" spans="1:10" hidden="1" x14ac:dyDescent="0.25">
      <c r="A391" t="s">
        <v>1181</v>
      </c>
      <c r="B391" t="s">
        <v>1093</v>
      </c>
      <c r="D391" t="s">
        <v>51</v>
      </c>
      <c r="E391" t="s">
        <v>1182</v>
      </c>
      <c r="F391" t="s">
        <v>269</v>
      </c>
      <c r="G391" s="5">
        <v>137500</v>
      </c>
      <c r="H391" t="s">
        <v>270</v>
      </c>
      <c r="I391" t="s">
        <v>582</v>
      </c>
    </row>
    <row r="392" spans="1:10" hidden="1" x14ac:dyDescent="0.25">
      <c r="A392" t="s">
        <v>1183</v>
      </c>
      <c r="B392" t="s">
        <v>1184</v>
      </c>
      <c r="D392" t="s">
        <v>51</v>
      </c>
      <c r="E392" t="s">
        <v>1182</v>
      </c>
      <c r="F392" t="s">
        <v>269</v>
      </c>
      <c r="G392" s="5">
        <v>129000</v>
      </c>
      <c r="H392" t="s">
        <v>270</v>
      </c>
      <c r="I392" t="s">
        <v>658</v>
      </c>
    </row>
    <row r="393" spans="1:10" hidden="1" x14ac:dyDescent="0.25">
      <c r="A393" t="s">
        <v>1185</v>
      </c>
      <c r="B393" t="s">
        <v>1186</v>
      </c>
      <c r="D393" t="s">
        <v>51</v>
      </c>
      <c r="E393" t="s">
        <v>1182</v>
      </c>
      <c r="F393" t="s">
        <v>269</v>
      </c>
      <c r="G393" s="5">
        <v>126500</v>
      </c>
      <c r="H393" t="s">
        <v>270</v>
      </c>
      <c r="I393" t="s">
        <v>280</v>
      </c>
    </row>
    <row r="394" spans="1:10" hidden="1" x14ac:dyDescent="0.25">
      <c r="A394" t="s">
        <v>1187</v>
      </c>
      <c r="B394" t="s">
        <v>969</v>
      </c>
      <c r="D394" t="s">
        <v>51</v>
      </c>
      <c r="E394" t="s">
        <v>1188</v>
      </c>
      <c r="F394" t="s">
        <v>262</v>
      </c>
      <c r="G394" s="5">
        <v>109000</v>
      </c>
      <c r="H394" t="s">
        <v>270</v>
      </c>
      <c r="I394" t="s">
        <v>629</v>
      </c>
    </row>
    <row r="395" spans="1:10" hidden="1" x14ac:dyDescent="0.25">
      <c r="A395" t="s">
        <v>1189</v>
      </c>
      <c r="B395" t="s">
        <v>1168</v>
      </c>
      <c r="D395" t="s">
        <v>51</v>
      </c>
      <c r="E395" t="s">
        <v>1188</v>
      </c>
      <c r="F395" t="s">
        <v>269</v>
      </c>
      <c r="G395" s="5">
        <v>118000</v>
      </c>
      <c r="H395" t="s">
        <v>270</v>
      </c>
      <c r="I395" t="s">
        <v>1190</v>
      </c>
    </row>
    <row r="396" spans="1:10" hidden="1" x14ac:dyDescent="0.25">
      <c r="A396" t="s">
        <v>1191</v>
      </c>
      <c r="B396" t="s">
        <v>1192</v>
      </c>
      <c r="D396" t="s">
        <v>51</v>
      </c>
      <c r="E396" t="s">
        <v>1182</v>
      </c>
      <c r="F396" t="s">
        <v>279</v>
      </c>
      <c r="G396" s="5">
        <v>97000</v>
      </c>
      <c r="H396" t="s">
        <v>270</v>
      </c>
      <c r="I396" t="s">
        <v>297</v>
      </c>
    </row>
    <row r="397" spans="1:10" hidden="1" x14ac:dyDescent="0.25">
      <c r="A397" t="s">
        <v>1193</v>
      </c>
      <c r="B397" t="s">
        <v>657</v>
      </c>
      <c r="D397" t="s">
        <v>51</v>
      </c>
      <c r="E397" t="s">
        <v>1182</v>
      </c>
      <c r="F397" t="s">
        <v>262</v>
      </c>
      <c r="G397" s="5">
        <v>101500</v>
      </c>
      <c r="H397" t="s">
        <v>270</v>
      </c>
      <c r="I397" t="s">
        <v>732</v>
      </c>
    </row>
    <row r="398" spans="1:10" hidden="1" x14ac:dyDescent="0.25">
      <c r="A398" t="s">
        <v>1194</v>
      </c>
      <c r="B398" t="s">
        <v>1195</v>
      </c>
      <c r="D398" t="s">
        <v>51</v>
      </c>
      <c r="E398" t="s">
        <v>1180</v>
      </c>
      <c r="F398" t="s">
        <v>279</v>
      </c>
      <c r="G398" s="5">
        <v>85500</v>
      </c>
      <c r="H398" t="s">
        <v>270</v>
      </c>
      <c r="I398" t="s">
        <v>356</v>
      </c>
    </row>
    <row r="399" spans="1:10" hidden="1" x14ac:dyDescent="0.25">
      <c r="A399" t="s">
        <v>1196</v>
      </c>
      <c r="B399" t="s">
        <v>1197</v>
      </c>
      <c r="D399" t="s">
        <v>51</v>
      </c>
      <c r="E399" t="s">
        <v>1180</v>
      </c>
      <c r="F399" t="s">
        <v>269</v>
      </c>
      <c r="G399" s="5">
        <v>124500</v>
      </c>
      <c r="H399" t="s">
        <v>270</v>
      </c>
      <c r="I399" t="s">
        <v>365</v>
      </c>
    </row>
    <row r="400" spans="1:10" hidden="1" x14ac:dyDescent="0.25">
      <c r="A400" t="s">
        <v>1198</v>
      </c>
      <c r="B400" t="s">
        <v>1199</v>
      </c>
      <c r="D400" t="s">
        <v>51</v>
      </c>
      <c r="E400" t="s">
        <v>1182</v>
      </c>
      <c r="F400" t="s">
        <v>262</v>
      </c>
      <c r="G400" s="5">
        <v>114000</v>
      </c>
      <c r="H400" t="s">
        <v>270</v>
      </c>
      <c r="I400" t="s">
        <v>1200</v>
      </c>
    </row>
    <row r="401" spans="1:9" hidden="1" x14ac:dyDescent="0.25">
      <c r="A401" t="s">
        <v>1201</v>
      </c>
      <c r="B401" t="s">
        <v>1202</v>
      </c>
      <c r="D401" t="s">
        <v>51</v>
      </c>
      <c r="E401" t="s">
        <v>1182</v>
      </c>
      <c r="F401" t="s">
        <v>274</v>
      </c>
      <c r="G401" s="5">
        <v>179000</v>
      </c>
      <c r="H401" t="s">
        <v>270</v>
      </c>
      <c r="I401" t="s">
        <v>691</v>
      </c>
    </row>
    <row r="402" spans="1:9" hidden="1" x14ac:dyDescent="0.25">
      <c r="A402" t="s">
        <v>1203</v>
      </c>
      <c r="B402" t="s">
        <v>689</v>
      </c>
      <c r="D402" t="s">
        <v>51</v>
      </c>
      <c r="E402" t="s">
        <v>1180</v>
      </c>
      <c r="F402" t="s">
        <v>262</v>
      </c>
      <c r="G402" s="5">
        <v>101500</v>
      </c>
      <c r="H402" t="s">
        <v>270</v>
      </c>
      <c r="I402" t="s">
        <v>578</v>
      </c>
    </row>
    <row r="403" spans="1:9" hidden="1" x14ac:dyDescent="0.25">
      <c r="A403" t="s">
        <v>1204</v>
      </c>
      <c r="B403" t="s">
        <v>958</v>
      </c>
      <c r="D403" t="s">
        <v>51</v>
      </c>
      <c r="E403" t="s">
        <v>1188</v>
      </c>
      <c r="F403" t="s">
        <v>262</v>
      </c>
      <c r="G403" s="5">
        <v>97500</v>
      </c>
      <c r="H403" t="s">
        <v>270</v>
      </c>
      <c r="I403" t="s">
        <v>1205</v>
      </c>
    </row>
    <row r="404" spans="1:9" hidden="1" x14ac:dyDescent="0.25">
      <c r="A404" t="s">
        <v>1206</v>
      </c>
      <c r="B404" t="s">
        <v>326</v>
      </c>
      <c r="D404" t="s">
        <v>51</v>
      </c>
      <c r="E404" t="s">
        <v>1182</v>
      </c>
      <c r="F404" t="s">
        <v>269</v>
      </c>
      <c r="G404" s="5">
        <v>132500</v>
      </c>
      <c r="H404" t="s">
        <v>270</v>
      </c>
      <c r="I404" t="s">
        <v>759</v>
      </c>
    </row>
    <row r="405" spans="1:9" hidden="1" x14ac:dyDescent="0.25">
      <c r="A405" t="s">
        <v>1207</v>
      </c>
      <c r="B405" t="s">
        <v>1208</v>
      </c>
      <c r="D405" t="s">
        <v>51</v>
      </c>
      <c r="E405" t="s">
        <v>1188</v>
      </c>
      <c r="F405" t="s">
        <v>274</v>
      </c>
      <c r="G405" s="5">
        <v>153500</v>
      </c>
      <c r="H405" t="s">
        <v>270</v>
      </c>
      <c r="I405" t="s">
        <v>1209</v>
      </c>
    </row>
    <row r="406" spans="1:9" hidden="1" x14ac:dyDescent="0.25">
      <c r="A406" t="s">
        <v>1210</v>
      </c>
      <c r="B406" t="s">
        <v>1211</v>
      </c>
      <c r="D406" t="s">
        <v>51</v>
      </c>
      <c r="E406" t="s">
        <v>1180</v>
      </c>
      <c r="F406" t="s">
        <v>290</v>
      </c>
      <c r="G406" s="5">
        <v>162500</v>
      </c>
      <c r="H406" t="s">
        <v>270</v>
      </c>
      <c r="I406" t="s">
        <v>287</v>
      </c>
    </row>
    <row r="407" spans="1:9" hidden="1" x14ac:dyDescent="0.25">
      <c r="A407" t="s">
        <v>1212</v>
      </c>
      <c r="B407" t="s">
        <v>1213</v>
      </c>
      <c r="D407" t="s">
        <v>51</v>
      </c>
      <c r="E407" t="s">
        <v>1188</v>
      </c>
      <c r="F407" t="s">
        <v>262</v>
      </c>
      <c r="G407" s="5">
        <v>107500</v>
      </c>
      <c r="H407" t="s">
        <v>270</v>
      </c>
      <c r="I407" t="s">
        <v>678</v>
      </c>
    </row>
    <row r="408" spans="1:9" hidden="1" x14ac:dyDescent="0.25">
      <c r="A408" t="s">
        <v>1214</v>
      </c>
      <c r="B408" t="s">
        <v>649</v>
      </c>
      <c r="D408" t="s">
        <v>51</v>
      </c>
      <c r="E408" t="s">
        <v>1182</v>
      </c>
      <c r="F408" t="s">
        <v>274</v>
      </c>
      <c r="G408" s="5">
        <v>151000</v>
      </c>
      <c r="H408" t="s">
        <v>270</v>
      </c>
      <c r="I408" t="s">
        <v>807</v>
      </c>
    </row>
    <row r="409" spans="1:9" hidden="1" x14ac:dyDescent="0.25">
      <c r="A409" t="s">
        <v>1215</v>
      </c>
      <c r="B409" t="s">
        <v>1216</v>
      </c>
      <c r="D409" t="s">
        <v>51</v>
      </c>
      <c r="E409" t="s">
        <v>1188</v>
      </c>
      <c r="F409" t="s">
        <v>262</v>
      </c>
      <c r="G409" s="5">
        <v>116500</v>
      </c>
      <c r="H409" t="s">
        <v>270</v>
      </c>
      <c r="I409" t="s">
        <v>859</v>
      </c>
    </row>
    <row r="410" spans="1:9" hidden="1" x14ac:dyDescent="0.25">
      <c r="A410" t="s">
        <v>1217</v>
      </c>
      <c r="B410" t="s">
        <v>701</v>
      </c>
      <c r="D410" t="s">
        <v>51</v>
      </c>
      <c r="E410" t="s">
        <v>1180</v>
      </c>
      <c r="F410" t="s">
        <v>269</v>
      </c>
      <c r="G410" s="5">
        <v>117500</v>
      </c>
      <c r="H410" t="s">
        <v>270</v>
      </c>
      <c r="I410" t="s">
        <v>1218</v>
      </c>
    </row>
    <row r="411" spans="1:9" hidden="1" x14ac:dyDescent="0.25">
      <c r="A411" t="s">
        <v>1219</v>
      </c>
      <c r="B411" t="s">
        <v>1220</v>
      </c>
      <c r="D411" t="s">
        <v>51</v>
      </c>
      <c r="E411" t="s">
        <v>1180</v>
      </c>
      <c r="F411" t="s">
        <v>262</v>
      </c>
      <c r="G411" s="5">
        <v>108000</v>
      </c>
      <c r="H411" t="s">
        <v>270</v>
      </c>
      <c r="I411" t="s">
        <v>514</v>
      </c>
    </row>
    <row r="412" spans="1:9" hidden="1" x14ac:dyDescent="0.25">
      <c r="A412" t="s">
        <v>1221</v>
      </c>
      <c r="B412" t="s">
        <v>1222</v>
      </c>
      <c r="D412" t="s">
        <v>51</v>
      </c>
      <c r="E412" t="s">
        <v>1188</v>
      </c>
      <c r="F412" t="s">
        <v>279</v>
      </c>
      <c r="G412" s="5">
        <v>83000</v>
      </c>
      <c r="H412" t="s">
        <v>270</v>
      </c>
      <c r="I412" t="s">
        <v>309</v>
      </c>
    </row>
    <row r="413" spans="1:9" hidden="1" x14ac:dyDescent="0.25">
      <c r="A413" t="s">
        <v>1223</v>
      </c>
      <c r="B413" t="s">
        <v>1224</v>
      </c>
      <c r="D413" t="s">
        <v>51</v>
      </c>
      <c r="E413" t="s">
        <v>1188</v>
      </c>
      <c r="F413" t="s">
        <v>269</v>
      </c>
      <c r="G413" s="5">
        <v>124500</v>
      </c>
      <c r="H413" t="s">
        <v>270</v>
      </c>
      <c r="I413" t="s">
        <v>481</v>
      </c>
    </row>
    <row r="414" spans="1:9" hidden="1" x14ac:dyDescent="0.25">
      <c r="A414" t="s">
        <v>1225</v>
      </c>
      <c r="B414" t="s">
        <v>1226</v>
      </c>
      <c r="D414" t="s">
        <v>51</v>
      </c>
      <c r="E414" t="s">
        <v>1182</v>
      </c>
      <c r="F414" t="s">
        <v>274</v>
      </c>
      <c r="G414" s="5">
        <v>179500</v>
      </c>
      <c r="H414" t="s">
        <v>270</v>
      </c>
      <c r="I414" t="s">
        <v>362</v>
      </c>
    </row>
    <row r="415" spans="1:9" hidden="1" x14ac:dyDescent="0.25">
      <c r="A415" t="s">
        <v>1227</v>
      </c>
      <c r="B415" t="s">
        <v>1228</v>
      </c>
      <c r="D415" t="s">
        <v>51</v>
      </c>
      <c r="E415" t="s">
        <v>1180</v>
      </c>
      <c r="F415" t="s">
        <v>279</v>
      </c>
      <c r="G415" s="5">
        <v>86500</v>
      </c>
      <c r="H415" t="s">
        <v>270</v>
      </c>
      <c r="I415" t="s">
        <v>1229</v>
      </c>
    </row>
    <row r="416" spans="1:9" hidden="1" x14ac:dyDescent="0.25">
      <c r="A416" t="s">
        <v>1230</v>
      </c>
      <c r="B416" t="s">
        <v>1231</v>
      </c>
      <c r="D416" t="s">
        <v>51</v>
      </c>
      <c r="E416" t="s">
        <v>1182</v>
      </c>
      <c r="F416" t="s">
        <v>269</v>
      </c>
      <c r="G416" s="5">
        <v>124500</v>
      </c>
      <c r="H416" t="s">
        <v>270</v>
      </c>
      <c r="I416" t="s">
        <v>464</v>
      </c>
    </row>
    <row r="417" spans="1:11" hidden="1" x14ac:dyDescent="0.25">
      <c r="A417" t="s">
        <v>1232</v>
      </c>
      <c r="B417" t="s">
        <v>1233</v>
      </c>
      <c r="D417" t="s">
        <v>51</v>
      </c>
      <c r="E417" t="s">
        <v>1182</v>
      </c>
      <c r="F417" t="s">
        <v>274</v>
      </c>
      <c r="G417" s="5">
        <v>163000</v>
      </c>
      <c r="H417" t="s">
        <v>270</v>
      </c>
      <c r="I417" t="s">
        <v>1234</v>
      </c>
    </row>
    <row r="418" spans="1:11" hidden="1" x14ac:dyDescent="0.25">
      <c r="A418" t="s">
        <v>1235</v>
      </c>
      <c r="B418" t="s">
        <v>1202</v>
      </c>
      <c r="C418" t="s">
        <v>1236</v>
      </c>
      <c r="D418" t="s">
        <v>37</v>
      </c>
      <c r="E418" t="s">
        <v>268</v>
      </c>
      <c r="F418" t="s">
        <v>290</v>
      </c>
      <c r="G418" s="5">
        <v>124500</v>
      </c>
      <c r="H418" t="s">
        <v>270</v>
      </c>
      <c r="I418" t="s">
        <v>1237</v>
      </c>
      <c r="K418" t="s">
        <v>1238</v>
      </c>
    </row>
    <row r="419" spans="1:11" hidden="1" x14ac:dyDescent="0.25">
      <c r="A419" t="s">
        <v>1239</v>
      </c>
      <c r="B419" t="s">
        <v>1240</v>
      </c>
      <c r="C419" t="s">
        <v>1241</v>
      </c>
      <c r="D419" t="s">
        <v>37</v>
      </c>
      <c r="E419" t="s">
        <v>278</v>
      </c>
      <c r="F419" t="s">
        <v>269</v>
      </c>
      <c r="G419" s="5">
        <v>105000</v>
      </c>
      <c r="H419" t="s">
        <v>270</v>
      </c>
      <c r="I419" t="s">
        <v>1242</v>
      </c>
      <c r="K419" t="s">
        <v>1243</v>
      </c>
    </row>
    <row r="420" spans="1:11" hidden="1" x14ac:dyDescent="0.25">
      <c r="A420" t="s">
        <v>1244</v>
      </c>
      <c r="B420" t="s">
        <v>1245</v>
      </c>
      <c r="C420" t="s">
        <v>1246</v>
      </c>
      <c r="D420" t="s">
        <v>37</v>
      </c>
      <c r="E420" t="s">
        <v>268</v>
      </c>
      <c r="F420" t="s">
        <v>262</v>
      </c>
      <c r="G420" s="5">
        <v>80500</v>
      </c>
      <c r="H420" t="s">
        <v>270</v>
      </c>
      <c r="I420" t="s">
        <v>1237</v>
      </c>
      <c r="K420" t="s">
        <v>1238</v>
      </c>
    </row>
    <row r="421" spans="1:11" hidden="1" x14ac:dyDescent="0.25">
      <c r="A421" t="s">
        <v>1247</v>
      </c>
      <c r="B421" t="s">
        <v>1248</v>
      </c>
      <c r="C421" t="s">
        <v>1249</v>
      </c>
      <c r="D421" t="s">
        <v>37</v>
      </c>
      <c r="E421" t="s">
        <v>268</v>
      </c>
      <c r="F421" t="s">
        <v>418</v>
      </c>
      <c r="G421" s="5">
        <v>171000</v>
      </c>
      <c r="H421" t="s">
        <v>270</v>
      </c>
      <c r="I421" t="s">
        <v>1250</v>
      </c>
      <c r="K421" t="s">
        <v>1251</v>
      </c>
    </row>
    <row r="422" spans="1:11" hidden="1" x14ac:dyDescent="0.25">
      <c r="A422" t="s">
        <v>1252</v>
      </c>
      <c r="B422" t="s">
        <v>1253</v>
      </c>
      <c r="C422" t="s">
        <v>1254</v>
      </c>
      <c r="D422" t="s">
        <v>37</v>
      </c>
      <c r="E422" t="s">
        <v>278</v>
      </c>
      <c r="F422" t="s">
        <v>290</v>
      </c>
      <c r="G422" s="5">
        <v>120000</v>
      </c>
      <c r="H422" t="s">
        <v>270</v>
      </c>
      <c r="I422" t="s">
        <v>1255</v>
      </c>
      <c r="K422" t="s">
        <v>1251</v>
      </c>
    </row>
    <row r="423" spans="1:11" hidden="1" x14ac:dyDescent="0.25">
      <c r="A423" t="s">
        <v>1256</v>
      </c>
      <c r="B423" t="s">
        <v>1257</v>
      </c>
      <c r="C423" t="s">
        <v>1258</v>
      </c>
      <c r="D423" t="s">
        <v>37</v>
      </c>
      <c r="E423" t="s">
        <v>268</v>
      </c>
      <c r="F423" t="s">
        <v>262</v>
      </c>
      <c r="G423" s="5">
        <v>91000</v>
      </c>
      <c r="H423" t="s">
        <v>270</v>
      </c>
      <c r="I423" t="s">
        <v>1175</v>
      </c>
      <c r="K423" t="s">
        <v>1255</v>
      </c>
    </row>
    <row r="424" spans="1:11" hidden="1" x14ac:dyDescent="0.25">
      <c r="A424" t="s">
        <v>1259</v>
      </c>
      <c r="B424" t="s">
        <v>1260</v>
      </c>
      <c r="C424" t="s">
        <v>1261</v>
      </c>
      <c r="D424" t="s">
        <v>37</v>
      </c>
      <c r="E424" t="s">
        <v>268</v>
      </c>
      <c r="F424" t="s">
        <v>418</v>
      </c>
      <c r="G424" s="5">
        <v>188500</v>
      </c>
      <c r="H424" t="s">
        <v>270</v>
      </c>
      <c r="I424" t="s">
        <v>1250</v>
      </c>
      <c r="K424" t="s">
        <v>1255</v>
      </c>
    </row>
    <row r="425" spans="1:11" hidden="1" x14ac:dyDescent="0.25">
      <c r="A425" t="s">
        <v>1262</v>
      </c>
      <c r="B425" t="s">
        <v>1263</v>
      </c>
      <c r="C425" t="s">
        <v>1264</v>
      </c>
      <c r="D425" t="s">
        <v>37</v>
      </c>
      <c r="E425" t="s">
        <v>261</v>
      </c>
      <c r="F425" t="s">
        <v>269</v>
      </c>
      <c r="G425" s="5">
        <v>99000</v>
      </c>
      <c r="H425" t="s">
        <v>270</v>
      </c>
      <c r="I425" t="s">
        <v>1265</v>
      </c>
      <c r="K425" t="s">
        <v>1266</v>
      </c>
    </row>
    <row r="426" spans="1:11" hidden="1" x14ac:dyDescent="0.25">
      <c r="A426" t="s">
        <v>1267</v>
      </c>
      <c r="B426" t="s">
        <v>383</v>
      </c>
      <c r="C426" t="s">
        <v>1268</v>
      </c>
      <c r="D426" t="s">
        <v>37</v>
      </c>
      <c r="E426" t="s">
        <v>278</v>
      </c>
      <c r="F426" t="s">
        <v>262</v>
      </c>
      <c r="G426" s="5">
        <v>89000</v>
      </c>
      <c r="H426" t="s">
        <v>270</v>
      </c>
      <c r="I426" t="s">
        <v>556</v>
      </c>
      <c r="K426" t="s">
        <v>1266</v>
      </c>
    </row>
    <row r="427" spans="1:11" hidden="1" x14ac:dyDescent="0.25">
      <c r="A427" t="s">
        <v>1269</v>
      </c>
      <c r="B427" t="s">
        <v>1270</v>
      </c>
      <c r="C427" t="s">
        <v>1271</v>
      </c>
      <c r="D427" t="s">
        <v>37</v>
      </c>
      <c r="E427" t="s">
        <v>283</v>
      </c>
      <c r="F427" t="s">
        <v>290</v>
      </c>
      <c r="G427" s="5">
        <v>114500</v>
      </c>
      <c r="H427" t="s">
        <v>270</v>
      </c>
      <c r="I427" t="s">
        <v>1265</v>
      </c>
      <c r="K427" t="s">
        <v>1265</v>
      </c>
    </row>
    <row r="428" spans="1:11" hidden="1" x14ac:dyDescent="0.25">
      <c r="A428" t="s">
        <v>1272</v>
      </c>
      <c r="B428" t="s">
        <v>723</v>
      </c>
      <c r="C428" t="s">
        <v>1273</v>
      </c>
      <c r="D428" t="s">
        <v>37</v>
      </c>
      <c r="E428" t="s">
        <v>332</v>
      </c>
      <c r="F428" t="s">
        <v>269</v>
      </c>
      <c r="G428" s="5">
        <v>102500</v>
      </c>
      <c r="H428" t="s">
        <v>270</v>
      </c>
      <c r="I428" t="s">
        <v>1274</v>
      </c>
      <c r="K428" t="s">
        <v>1275</v>
      </c>
    </row>
    <row r="429" spans="1:11" hidden="1" x14ac:dyDescent="0.25">
      <c r="A429" t="s">
        <v>1276</v>
      </c>
      <c r="B429" t="s">
        <v>1277</v>
      </c>
      <c r="C429" t="s">
        <v>1278</v>
      </c>
      <c r="D429" t="s">
        <v>37</v>
      </c>
      <c r="E429" t="s">
        <v>283</v>
      </c>
      <c r="F429" t="s">
        <v>279</v>
      </c>
      <c r="G429" s="5">
        <v>80500</v>
      </c>
      <c r="H429" t="s">
        <v>270</v>
      </c>
      <c r="I429" t="s">
        <v>1275</v>
      </c>
      <c r="K429" t="s">
        <v>1275</v>
      </c>
    </row>
    <row r="430" spans="1:11" hidden="1" x14ac:dyDescent="0.25">
      <c r="A430" t="s">
        <v>1279</v>
      </c>
      <c r="B430" t="s">
        <v>1280</v>
      </c>
      <c r="C430" t="s">
        <v>1281</v>
      </c>
      <c r="D430" t="s">
        <v>37</v>
      </c>
      <c r="E430" t="s">
        <v>261</v>
      </c>
      <c r="F430" t="s">
        <v>274</v>
      </c>
      <c r="G430" s="5">
        <v>139500</v>
      </c>
      <c r="H430" t="s">
        <v>270</v>
      </c>
      <c r="I430" t="s">
        <v>1274</v>
      </c>
      <c r="K430" t="s">
        <v>1274</v>
      </c>
    </row>
    <row r="431" spans="1:11" hidden="1" x14ac:dyDescent="0.25">
      <c r="A431" t="s">
        <v>1282</v>
      </c>
      <c r="B431" t="s">
        <v>1283</v>
      </c>
      <c r="C431" t="s">
        <v>1284</v>
      </c>
      <c r="D431" t="s">
        <v>37</v>
      </c>
      <c r="E431" t="s">
        <v>261</v>
      </c>
      <c r="F431" t="s">
        <v>290</v>
      </c>
      <c r="G431" s="5">
        <v>124500</v>
      </c>
      <c r="H431" t="s">
        <v>270</v>
      </c>
      <c r="I431" t="s">
        <v>154</v>
      </c>
      <c r="K431" t="s">
        <v>1274</v>
      </c>
    </row>
    <row r="432" spans="1:11" hidden="1" x14ac:dyDescent="0.25">
      <c r="B432" t="s">
        <v>1285</v>
      </c>
      <c r="C432" t="s">
        <v>1286</v>
      </c>
      <c r="D432" t="s">
        <v>37</v>
      </c>
      <c r="E432" t="s">
        <v>268</v>
      </c>
      <c r="F432" t="s">
        <v>279</v>
      </c>
      <c r="G432" s="5">
        <v>75000</v>
      </c>
      <c r="H432" t="s">
        <v>1287</v>
      </c>
      <c r="K432" t="s">
        <v>1288</v>
      </c>
    </row>
    <row r="433" spans="1:11" hidden="1" x14ac:dyDescent="0.25">
      <c r="B433" t="s">
        <v>1285</v>
      </c>
      <c r="C433" t="s">
        <v>1289</v>
      </c>
      <c r="D433" t="s">
        <v>37</v>
      </c>
      <c r="E433" t="s">
        <v>278</v>
      </c>
      <c r="F433" t="s">
        <v>274</v>
      </c>
      <c r="G433" s="5">
        <v>135000</v>
      </c>
      <c r="H433" t="s">
        <v>1287</v>
      </c>
      <c r="K433" t="s">
        <v>1290</v>
      </c>
    </row>
    <row r="434" spans="1:11" hidden="1" x14ac:dyDescent="0.25">
      <c r="B434" t="s">
        <v>1285</v>
      </c>
      <c r="C434" t="s">
        <v>1291</v>
      </c>
      <c r="D434" t="s">
        <v>37</v>
      </c>
      <c r="E434" t="s">
        <v>283</v>
      </c>
      <c r="F434" t="s">
        <v>262</v>
      </c>
      <c r="G434" s="5">
        <v>89500</v>
      </c>
      <c r="H434" t="s">
        <v>1287</v>
      </c>
      <c r="K434" t="s">
        <v>1290</v>
      </c>
    </row>
    <row r="435" spans="1:11" hidden="1" x14ac:dyDescent="0.25">
      <c r="B435" t="s">
        <v>1285</v>
      </c>
      <c r="C435" t="s">
        <v>1292</v>
      </c>
      <c r="D435" t="s">
        <v>37</v>
      </c>
      <c r="E435" t="s">
        <v>332</v>
      </c>
      <c r="F435" t="s">
        <v>279</v>
      </c>
      <c r="G435" s="5">
        <v>71500</v>
      </c>
      <c r="H435" t="s">
        <v>1287</v>
      </c>
      <c r="K435" t="s">
        <v>1293</v>
      </c>
    </row>
    <row r="436" spans="1:11" hidden="1" x14ac:dyDescent="0.25">
      <c r="A436" t="s">
        <v>1294</v>
      </c>
      <c r="B436" t="s">
        <v>644</v>
      </c>
      <c r="C436" t="s">
        <v>1295</v>
      </c>
      <c r="D436" t="s">
        <v>44</v>
      </c>
      <c r="E436" t="s">
        <v>532</v>
      </c>
      <c r="F436" t="s">
        <v>262</v>
      </c>
      <c r="G436" s="5">
        <v>112000</v>
      </c>
      <c r="H436" t="s">
        <v>270</v>
      </c>
      <c r="I436" t="s">
        <v>1237</v>
      </c>
      <c r="K436" t="s">
        <v>1243</v>
      </c>
    </row>
    <row r="437" spans="1:11" hidden="1" x14ac:dyDescent="0.25">
      <c r="A437" t="s">
        <v>1296</v>
      </c>
      <c r="B437" t="s">
        <v>1297</v>
      </c>
      <c r="C437" t="s">
        <v>1298</v>
      </c>
      <c r="D437" t="s">
        <v>44</v>
      </c>
      <c r="E437" t="s">
        <v>528</v>
      </c>
      <c r="F437" t="s">
        <v>269</v>
      </c>
      <c r="G437" s="5">
        <v>129000</v>
      </c>
      <c r="H437" t="s">
        <v>270</v>
      </c>
      <c r="I437" t="s">
        <v>265</v>
      </c>
      <c r="K437" t="s">
        <v>1251</v>
      </c>
    </row>
    <row r="438" spans="1:11" hidden="1" x14ac:dyDescent="0.25">
      <c r="A438" t="s">
        <v>1299</v>
      </c>
      <c r="B438" t="s">
        <v>1300</v>
      </c>
      <c r="C438" t="s">
        <v>1301</v>
      </c>
      <c r="D438" t="s">
        <v>44</v>
      </c>
      <c r="E438" t="s">
        <v>532</v>
      </c>
      <c r="F438" t="s">
        <v>290</v>
      </c>
      <c r="G438" s="5">
        <v>141000</v>
      </c>
      <c r="H438" t="s">
        <v>270</v>
      </c>
      <c r="I438" t="s">
        <v>1274</v>
      </c>
      <c r="K438" t="s">
        <v>1275</v>
      </c>
    </row>
    <row r="439" spans="1:11" hidden="1" x14ac:dyDescent="0.25">
      <c r="A439" t="s">
        <v>1302</v>
      </c>
      <c r="B439" t="s">
        <v>367</v>
      </c>
      <c r="C439" t="s">
        <v>1303</v>
      </c>
      <c r="D439" t="s">
        <v>44</v>
      </c>
      <c r="E439" t="s">
        <v>525</v>
      </c>
      <c r="F439" t="s">
        <v>418</v>
      </c>
      <c r="G439" s="5">
        <v>195500</v>
      </c>
      <c r="H439" t="s">
        <v>270</v>
      </c>
      <c r="I439" t="s">
        <v>1288</v>
      </c>
      <c r="K439" t="s">
        <v>1288</v>
      </c>
    </row>
    <row r="440" spans="1:11" hidden="1" x14ac:dyDescent="0.25">
      <c r="A440" t="s">
        <v>1304</v>
      </c>
      <c r="B440" t="s">
        <v>804</v>
      </c>
      <c r="C440" t="s">
        <v>1305</v>
      </c>
      <c r="D440" t="s">
        <v>45</v>
      </c>
      <c r="E440" t="s">
        <v>606</v>
      </c>
      <c r="F440" t="s">
        <v>269</v>
      </c>
      <c r="G440" s="5">
        <v>107000</v>
      </c>
      <c r="H440" t="s">
        <v>270</v>
      </c>
      <c r="I440" t="s">
        <v>1243</v>
      </c>
      <c r="K440" t="s">
        <v>1243</v>
      </c>
    </row>
    <row r="441" spans="1:11" hidden="1" x14ac:dyDescent="0.25">
      <c r="A441" t="s">
        <v>1306</v>
      </c>
      <c r="B441" t="s">
        <v>1307</v>
      </c>
      <c r="C441" t="s">
        <v>1308</v>
      </c>
      <c r="D441" t="s">
        <v>45</v>
      </c>
      <c r="E441" t="s">
        <v>606</v>
      </c>
      <c r="F441" t="s">
        <v>262</v>
      </c>
      <c r="G441" s="5">
        <v>84500</v>
      </c>
      <c r="H441" t="s">
        <v>270</v>
      </c>
      <c r="I441" t="s">
        <v>1255</v>
      </c>
      <c r="K441" t="s">
        <v>1251</v>
      </c>
    </row>
    <row r="442" spans="1:11" hidden="1" x14ac:dyDescent="0.25">
      <c r="A442" t="s">
        <v>1309</v>
      </c>
      <c r="B442" t="s">
        <v>260</v>
      </c>
      <c r="C442" t="s">
        <v>1310</v>
      </c>
      <c r="D442" t="s">
        <v>45</v>
      </c>
      <c r="E442" t="s">
        <v>606</v>
      </c>
      <c r="F442" t="s">
        <v>274</v>
      </c>
      <c r="G442" s="5">
        <v>121500</v>
      </c>
      <c r="H442" t="s">
        <v>270</v>
      </c>
      <c r="I442" t="s">
        <v>1250</v>
      </c>
      <c r="K442" t="s">
        <v>1255</v>
      </c>
    </row>
    <row r="443" spans="1:11" hidden="1" x14ac:dyDescent="0.25">
      <c r="A443" t="s">
        <v>1311</v>
      </c>
      <c r="B443" t="s">
        <v>958</v>
      </c>
      <c r="C443" t="s">
        <v>1312</v>
      </c>
      <c r="D443" t="s">
        <v>45</v>
      </c>
      <c r="E443" t="s">
        <v>606</v>
      </c>
      <c r="F443" t="s">
        <v>269</v>
      </c>
      <c r="G443" s="5">
        <v>94000</v>
      </c>
      <c r="H443" t="s">
        <v>270</v>
      </c>
      <c r="I443" t="s">
        <v>1275</v>
      </c>
      <c r="K443" t="s">
        <v>1275</v>
      </c>
    </row>
    <row r="444" spans="1:11" hidden="1" x14ac:dyDescent="0.25">
      <c r="A444" t="s">
        <v>1313</v>
      </c>
      <c r="B444" t="s">
        <v>1314</v>
      </c>
      <c r="C444" t="s">
        <v>1315</v>
      </c>
      <c r="D444" t="s">
        <v>45</v>
      </c>
      <c r="E444" t="s">
        <v>603</v>
      </c>
      <c r="F444" t="s">
        <v>290</v>
      </c>
      <c r="G444" s="5">
        <v>111500</v>
      </c>
      <c r="H444" t="s">
        <v>270</v>
      </c>
      <c r="I444" t="s">
        <v>612</v>
      </c>
      <c r="K444" t="s">
        <v>1274</v>
      </c>
    </row>
    <row r="445" spans="1:11" hidden="1" x14ac:dyDescent="0.25">
      <c r="B445" t="s">
        <v>1285</v>
      </c>
      <c r="C445" t="s">
        <v>1316</v>
      </c>
      <c r="D445" t="s">
        <v>45</v>
      </c>
      <c r="E445" t="s">
        <v>603</v>
      </c>
      <c r="F445" t="s">
        <v>290</v>
      </c>
      <c r="G445" s="5">
        <v>128500</v>
      </c>
      <c r="H445" t="s">
        <v>1287</v>
      </c>
      <c r="K445" t="s">
        <v>1290</v>
      </c>
    </row>
    <row r="446" spans="1:11" x14ac:dyDescent="0.25">
      <c r="A446" t="s">
        <v>1317</v>
      </c>
      <c r="B446" t="s">
        <v>1318</v>
      </c>
      <c r="C446" t="s">
        <v>1319</v>
      </c>
      <c r="D446" t="s">
        <v>46</v>
      </c>
      <c r="E446" t="s">
        <v>717</v>
      </c>
      <c r="F446" t="s">
        <v>269</v>
      </c>
      <c r="G446" s="5">
        <v>175500</v>
      </c>
      <c r="H446" t="s">
        <v>270</v>
      </c>
      <c r="I446" t="s">
        <v>1265</v>
      </c>
      <c r="K446" t="s">
        <v>1243</v>
      </c>
    </row>
    <row r="447" spans="1:11" x14ac:dyDescent="0.25">
      <c r="A447" t="s">
        <v>1320</v>
      </c>
      <c r="B447" t="s">
        <v>1321</v>
      </c>
      <c r="C447" t="s">
        <v>1322</v>
      </c>
      <c r="D447" t="s">
        <v>46</v>
      </c>
      <c r="E447" t="s">
        <v>717</v>
      </c>
      <c r="F447" t="s">
        <v>262</v>
      </c>
      <c r="G447" s="5">
        <v>135000</v>
      </c>
      <c r="H447" t="s">
        <v>270</v>
      </c>
      <c r="I447" t="s">
        <v>431</v>
      </c>
      <c r="K447" t="s">
        <v>1238</v>
      </c>
    </row>
    <row r="448" spans="1:11" x14ac:dyDescent="0.25">
      <c r="A448" t="s">
        <v>1323</v>
      </c>
      <c r="B448" t="s">
        <v>698</v>
      </c>
      <c r="C448" t="s">
        <v>1324</v>
      </c>
      <c r="D448" t="s">
        <v>46</v>
      </c>
      <c r="E448" t="s">
        <v>717</v>
      </c>
      <c r="F448" t="s">
        <v>269</v>
      </c>
      <c r="G448" s="5">
        <v>156000</v>
      </c>
      <c r="H448" t="s">
        <v>270</v>
      </c>
      <c r="I448" t="s">
        <v>1250</v>
      </c>
      <c r="K448" t="s">
        <v>1243</v>
      </c>
    </row>
    <row r="449" spans="1:11" x14ac:dyDescent="0.25">
      <c r="A449" t="s">
        <v>1325</v>
      </c>
      <c r="B449" t="s">
        <v>1326</v>
      </c>
      <c r="C449" t="s">
        <v>1327</v>
      </c>
      <c r="D449" t="s">
        <v>46</v>
      </c>
      <c r="E449" t="s">
        <v>755</v>
      </c>
      <c r="F449" t="s">
        <v>418</v>
      </c>
      <c r="G449" s="5">
        <v>275500</v>
      </c>
      <c r="H449" t="s">
        <v>270</v>
      </c>
      <c r="I449" t="s">
        <v>1250</v>
      </c>
      <c r="K449" t="s">
        <v>1238</v>
      </c>
    </row>
    <row r="450" spans="1:11" x14ac:dyDescent="0.25">
      <c r="A450" t="s">
        <v>1328</v>
      </c>
      <c r="B450" t="s">
        <v>1329</v>
      </c>
      <c r="C450" t="s">
        <v>1330</v>
      </c>
      <c r="D450" t="s">
        <v>46</v>
      </c>
      <c r="E450" t="s">
        <v>755</v>
      </c>
      <c r="F450" t="s">
        <v>279</v>
      </c>
      <c r="G450" s="5">
        <v>112000</v>
      </c>
      <c r="H450" t="s">
        <v>270</v>
      </c>
      <c r="I450" t="s">
        <v>1274</v>
      </c>
      <c r="K450" t="s">
        <v>1251</v>
      </c>
    </row>
    <row r="451" spans="1:11" x14ac:dyDescent="0.25">
      <c r="A451" t="s">
        <v>1331</v>
      </c>
      <c r="B451" t="s">
        <v>1332</v>
      </c>
      <c r="C451" t="s">
        <v>1333</v>
      </c>
      <c r="D451" t="s">
        <v>46</v>
      </c>
      <c r="E451" t="s">
        <v>694</v>
      </c>
      <c r="F451" t="s">
        <v>269</v>
      </c>
      <c r="G451" s="5">
        <v>178000</v>
      </c>
      <c r="H451" t="s">
        <v>270</v>
      </c>
      <c r="I451" t="s">
        <v>1266</v>
      </c>
      <c r="K451" t="s">
        <v>1251</v>
      </c>
    </row>
    <row r="452" spans="1:11" x14ac:dyDescent="0.25">
      <c r="A452" t="s">
        <v>1334</v>
      </c>
      <c r="B452" t="s">
        <v>1335</v>
      </c>
      <c r="C452" t="s">
        <v>1336</v>
      </c>
      <c r="D452" t="s">
        <v>46</v>
      </c>
      <c r="E452" t="s">
        <v>717</v>
      </c>
      <c r="F452" t="s">
        <v>279</v>
      </c>
      <c r="G452" s="5">
        <v>124500</v>
      </c>
      <c r="H452" t="s">
        <v>270</v>
      </c>
      <c r="I452" t="s">
        <v>612</v>
      </c>
      <c r="K452" t="s">
        <v>1251</v>
      </c>
    </row>
    <row r="453" spans="1:11" x14ac:dyDescent="0.25">
      <c r="A453" t="s">
        <v>1337</v>
      </c>
      <c r="B453" t="s">
        <v>429</v>
      </c>
      <c r="C453" t="s">
        <v>1338</v>
      </c>
      <c r="D453" t="s">
        <v>46</v>
      </c>
      <c r="E453" t="s">
        <v>717</v>
      </c>
      <c r="F453" t="s">
        <v>262</v>
      </c>
      <c r="G453" s="5">
        <v>148000</v>
      </c>
      <c r="H453" t="s">
        <v>270</v>
      </c>
      <c r="I453" t="s">
        <v>1275</v>
      </c>
      <c r="K453" t="s">
        <v>1255</v>
      </c>
    </row>
    <row r="454" spans="1:11" x14ac:dyDescent="0.25">
      <c r="A454" t="s">
        <v>1339</v>
      </c>
      <c r="B454" t="s">
        <v>1136</v>
      </c>
      <c r="C454" t="s">
        <v>1340</v>
      </c>
      <c r="D454" t="s">
        <v>46</v>
      </c>
      <c r="E454" t="s">
        <v>699</v>
      </c>
      <c r="F454" t="s">
        <v>269</v>
      </c>
      <c r="G454" s="5">
        <v>166000</v>
      </c>
      <c r="H454" t="s">
        <v>270</v>
      </c>
      <c r="I454" t="s">
        <v>1288</v>
      </c>
      <c r="K454" t="s">
        <v>1255</v>
      </c>
    </row>
    <row r="455" spans="1:11" x14ac:dyDescent="0.25">
      <c r="A455" t="s">
        <v>1341</v>
      </c>
      <c r="B455" t="s">
        <v>625</v>
      </c>
      <c r="C455" t="s">
        <v>1342</v>
      </c>
      <c r="D455" t="s">
        <v>46</v>
      </c>
      <c r="E455" t="s">
        <v>690</v>
      </c>
      <c r="F455" t="s">
        <v>262</v>
      </c>
      <c r="G455" s="5">
        <v>158500</v>
      </c>
      <c r="H455" t="s">
        <v>270</v>
      </c>
      <c r="I455" t="s">
        <v>431</v>
      </c>
      <c r="K455" t="s">
        <v>1266</v>
      </c>
    </row>
    <row r="456" spans="1:11" x14ac:dyDescent="0.25">
      <c r="B456" t="s">
        <v>1285</v>
      </c>
      <c r="C456" t="s">
        <v>1343</v>
      </c>
      <c r="D456" t="s">
        <v>46</v>
      </c>
      <c r="E456" t="s">
        <v>699</v>
      </c>
      <c r="F456" t="s">
        <v>262</v>
      </c>
      <c r="G456" s="5">
        <v>141000</v>
      </c>
      <c r="H456" t="s">
        <v>1287</v>
      </c>
      <c r="K456" t="s">
        <v>1255</v>
      </c>
    </row>
    <row r="457" spans="1:11" x14ac:dyDescent="0.25">
      <c r="B457" t="s">
        <v>1285</v>
      </c>
      <c r="C457" t="s">
        <v>1344</v>
      </c>
      <c r="D457" t="s">
        <v>46</v>
      </c>
      <c r="E457" t="s">
        <v>717</v>
      </c>
      <c r="F457" t="s">
        <v>269</v>
      </c>
      <c r="G457" s="5">
        <v>161500</v>
      </c>
      <c r="H457" t="s">
        <v>1287</v>
      </c>
      <c r="K457" t="s">
        <v>1265</v>
      </c>
    </row>
    <row r="458" spans="1:11" x14ac:dyDescent="0.25">
      <c r="B458" t="s">
        <v>1285</v>
      </c>
      <c r="C458" t="s">
        <v>1345</v>
      </c>
      <c r="D458" t="s">
        <v>46</v>
      </c>
      <c r="E458" t="s">
        <v>690</v>
      </c>
      <c r="F458" t="s">
        <v>269</v>
      </c>
      <c r="G458" s="5">
        <v>154000</v>
      </c>
      <c r="H458" t="s">
        <v>1287</v>
      </c>
      <c r="K458" t="s">
        <v>1265</v>
      </c>
    </row>
    <row r="459" spans="1:11" x14ac:dyDescent="0.25">
      <c r="B459" t="s">
        <v>1285</v>
      </c>
      <c r="C459" t="s">
        <v>1346</v>
      </c>
      <c r="D459" t="s">
        <v>46</v>
      </c>
      <c r="E459" t="s">
        <v>717</v>
      </c>
      <c r="F459" t="s">
        <v>418</v>
      </c>
      <c r="G459" s="5">
        <v>291500</v>
      </c>
      <c r="H459" t="s">
        <v>1287</v>
      </c>
      <c r="K459" t="s">
        <v>1266</v>
      </c>
    </row>
    <row r="460" spans="1:11" x14ac:dyDescent="0.25">
      <c r="B460" t="s">
        <v>1285</v>
      </c>
      <c r="C460" t="s">
        <v>1347</v>
      </c>
      <c r="D460" t="s">
        <v>46</v>
      </c>
      <c r="E460" t="s">
        <v>690</v>
      </c>
      <c r="F460" t="s">
        <v>279</v>
      </c>
      <c r="G460" s="5">
        <v>130500</v>
      </c>
      <c r="H460" t="s">
        <v>1287</v>
      </c>
      <c r="K460" t="s">
        <v>1265</v>
      </c>
    </row>
    <row r="461" spans="1:11" x14ac:dyDescent="0.25">
      <c r="B461" t="s">
        <v>1285</v>
      </c>
      <c r="C461" t="s">
        <v>1348</v>
      </c>
      <c r="D461" t="s">
        <v>46</v>
      </c>
      <c r="E461" t="s">
        <v>690</v>
      </c>
      <c r="F461" t="s">
        <v>290</v>
      </c>
      <c r="G461" s="5">
        <v>194500</v>
      </c>
      <c r="H461" t="s">
        <v>1287</v>
      </c>
      <c r="K461" t="s">
        <v>1265</v>
      </c>
    </row>
    <row r="462" spans="1:11" x14ac:dyDescent="0.25">
      <c r="A462" t="s">
        <v>1349</v>
      </c>
      <c r="B462" t="s">
        <v>1350</v>
      </c>
      <c r="C462" t="s">
        <v>1351</v>
      </c>
      <c r="D462" t="s">
        <v>46</v>
      </c>
      <c r="E462" t="s">
        <v>690</v>
      </c>
      <c r="F462" t="s">
        <v>269</v>
      </c>
      <c r="G462" s="5">
        <v>173500</v>
      </c>
      <c r="H462" t="s">
        <v>270</v>
      </c>
      <c r="I462" t="s">
        <v>154</v>
      </c>
      <c r="K462" t="s">
        <v>1275</v>
      </c>
    </row>
    <row r="463" spans="1:11" x14ac:dyDescent="0.25">
      <c r="B463" t="s">
        <v>1285</v>
      </c>
      <c r="C463" t="s">
        <v>1352</v>
      </c>
      <c r="D463" t="s">
        <v>46</v>
      </c>
      <c r="E463" t="s">
        <v>694</v>
      </c>
      <c r="F463" t="s">
        <v>262</v>
      </c>
      <c r="G463" s="5">
        <v>133500</v>
      </c>
      <c r="H463" t="s">
        <v>1287</v>
      </c>
      <c r="K463" t="s">
        <v>1274</v>
      </c>
    </row>
    <row r="464" spans="1:11" x14ac:dyDescent="0.25">
      <c r="B464" t="s">
        <v>1285</v>
      </c>
      <c r="C464" t="s">
        <v>1353</v>
      </c>
      <c r="D464" t="s">
        <v>46</v>
      </c>
      <c r="E464" t="s">
        <v>694</v>
      </c>
      <c r="F464" t="s">
        <v>279</v>
      </c>
      <c r="G464" s="5">
        <v>124500</v>
      </c>
      <c r="H464" t="s">
        <v>1287</v>
      </c>
      <c r="K464" t="s">
        <v>1275</v>
      </c>
    </row>
    <row r="465" spans="1:11" x14ac:dyDescent="0.25">
      <c r="B465" t="s">
        <v>1285</v>
      </c>
      <c r="C465" t="s">
        <v>1354</v>
      </c>
      <c r="D465" t="s">
        <v>46</v>
      </c>
      <c r="E465" t="s">
        <v>696</v>
      </c>
      <c r="F465" t="s">
        <v>279</v>
      </c>
      <c r="G465" s="5">
        <v>121500</v>
      </c>
      <c r="H465" t="s">
        <v>1287</v>
      </c>
      <c r="K465" t="s">
        <v>1274</v>
      </c>
    </row>
    <row r="466" spans="1:11" x14ac:dyDescent="0.25">
      <c r="B466" t="s">
        <v>1285</v>
      </c>
      <c r="C466" t="s">
        <v>1355</v>
      </c>
      <c r="D466" t="s">
        <v>46</v>
      </c>
      <c r="E466" t="s">
        <v>696</v>
      </c>
      <c r="F466" t="s">
        <v>269</v>
      </c>
      <c r="G466" s="5">
        <v>166000</v>
      </c>
      <c r="H466" t="s">
        <v>1287</v>
      </c>
      <c r="K466" t="s">
        <v>1274</v>
      </c>
    </row>
    <row r="467" spans="1:11" x14ac:dyDescent="0.25">
      <c r="B467" t="s">
        <v>1285</v>
      </c>
      <c r="C467" t="s">
        <v>1356</v>
      </c>
      <c r="D467" t="s">
        <v>46</v>
      </c>
      <c r="E467" t="s">
        <v>699</v>
      </c>
      <c r="F467" t="s">
        <v>418</v>
      </c>
      <c r="G467" s="5">
        <v>281000</v>
      </c>
      <c r="H467" t="s">
        <v>1287</v>
      </c>
      <c r="K467" t="s">
        <v>1274</v>
      </c>
    </row>
    <row r="468" spans="1:11" x14ac:dyDescent="0.25">
      <c r="B468" t="s">
        <v>1285</v>
      </c>
      <c r="C468" t="s">
        <v>1357</v>
      </c>
      <c r="D468" t="s">
        <v>46</v>
      </c>
      <c r="E468" t="s">
        <v>694</v>
      </c>
      <c r="F468" t="s">
        <v>279</v>
      </c>
      <c r="G468" s="5">
        <v>133000</v>
      </c>
      <c r="H468" t="s">
        <v>1287</v>
      </c>
      <c r="K468" t="s">
        <v>1290</v>
      </c>
    </row>
    <row r="469" spans="1:11" x14ac:dyDescent="0.25">
      <c r="B469" t="s">
        <v>1285</v>
      </c>
      <c r="C469" t="s">
        <v>1358</v>
      </c>
      <c r="D469" t="s">
        <v>46</v>
      </c>
      <c r="E469" t="s">
        <v>755</v>
      </c>
      <c r="F469" t="s">
        <v>279</v>
      </c>
      <c r="G469" s="5">
        <v>126000</v>
      </c>
      <c r="H469" t="s">
        <v>1287</v>
      </c>
      <c r="K469" t="s">
        <v>1288</v>
      </c>
    </row>
    <row r="470" spans="1:11" x14ac:dyDescent="0.25">
      <c r="B470" t="s">
        <v>1285</v>
      </c>
      <c r="C470" t="s">
        <v>1359</v>
      </c>
      <c r="D470" t="s">
        <v>46</v>
      </c>
      <c r="E470" t="s">
        <v>755</v>
      </c>
      <c r="F470" t="s">
        <v>279</v>
      </c>
      <c r="G470" s="5">
        <v>119000</v>
      </c>
      <c r="H470" t="s">
        <v>1287</v>
      </c>
      <c r="K470" t="s">
        <v>1288</v>
      </c>
    </row>
    <row r="471" spans="1:11" x14ac:dyDescent="0.25">
      <c r="B471" t="s">
        <v>1285</v>
      </c>
      <c r="C471" t="s">
        <v>1360</v>
      </c>
      <c r="D471" t="s">
        <v>46</v>
      </c>
      <c r="E471" t="s">
        <v>699</v>
      </c>
      <c r="F471" t="s">
        <v>262</v>
      </c>
      <c r="G471" s="5">
        <v>144000</v>
      </c>
      <c r="H471" t="s">
        <v>1287</v>
      </c>
      <c r="K471" t="s">
        <v>1293</v>
      </c>
    </row>
    <row r="472" spans="1:11" x14ac:dyDescent="0.25">
      <c r="B472" t="s">
        <v>1285</v>
      </c>
      <c r="C472" t="s">
        <v>1361</v>
      </c>
      <c r="D472" t="s">
        <v>46</v>
      </c>
      <c r="E472" t="s">
        <v>696</v>
      </c>
      <c r="F472" t="s">
        <v>262</v>
      </c>
      <c r="G472" s="5">
        <v>136000</v>
      </c>
      <c r="H472" t="s">
        <v>1287</v>
      </c>
      <c r="K472" t="s">
        <v>1293</v>
      </c>
    </row>
    <row r="473" spans="1:11" x14ac:dyDescent="0.25">
      <c r="B473" t="s">
        <v>1285</v>
      </c>
      <c r="C473" t="s">
        <v>1362</v>
      </c>
      <c r="D473" t="s">
        <v>46</v>
      </c>
      <c r="E473" t="s">
        <v>755</v>
      </c>
      <c r="F473" t="s">
        <v>269</v>
      </c>
      <c r="G473" s="5">
        <v>184000</v>
      </c>
      <c r="H473" t="s">
        <v>1287</v>
      </c>
      <c r="K473" t="s">
        <v>1290</v>
      </c>
    </row>
    <row r="474" spans="1:11" x14ac:dyDescent="0.25">
      <c r="B474" t="s">
        <v>1285</v>
      </c>
      <c r="C474" t="s">
        <v>1363</v>
      </c>
      <c r="D474" t="s">
        <v>46</v>
      </c>
      <c r="E474" t="s">
        <v>694</v>
      </c>
      <c r="F474" t="s">
        <v>262</v>
      </c>
      <c r="G474" s="5">
        <v>150000</v>
      </c>
      <c r="H474" t="s">
        <v>1287</v>
      </c>
      <c r="K474" t="s">
        <v>1293</v>
      </c>
    </row>
    <row r="475" spans="1:11" x14ac:dyDescent="0.25">
      <c r="B475" t="s">
        <v>1285</v>
      </c>
      <c r="C475" t="s">
        <v>1364</v>
      </c>
      <c r="D475" t="s">
        <v>46</v>
      </c>
      <c r="E475" t="s">
        <v>696</v>
      </c>
      <c r="F475" t="s">
        <v>290</v>
      </c>
      <c r="G475" s="5">
        <v>186000</v>
      </c>
      <c r="H475" t="s">
        <v>1287</v>
      </c>
      <c r="K475" t="s">
        <v>1293</v>
      </c>
    </row>
    <row r="476" spans="1:11" hidden="1" x14ac:dyDescent="0.25">
      <c r="A476" t="s">
        <v>1365</v>
      </c>
      <c r="B476" t="s">
        <v>1366</v>
      </c>
      <c r="C476" t="s">
        <v>1367</v>
      </c>
      <c r="D476" t="s">
        <v>48</v>
      </c>
      <c r="E476" t="s">
        <v>1024</v>
      </c>
      <c r="F476" t="s">
        <v>262</v>
      </c>
      <c r="G476" s="5">
        <v>109500</v>
      </c>
      <c r="H476" t="s">
        <v>270</v>
      </c>
      <c r="I476" t="s">
        <v>1237</v>
      </c>
      <c r="K476" t="s">
        <v>1238</v>
      </c>
    </row>
    <row r="477" spans="1:11" hidden="1" x14ac:dyDescent="0.25">
      <c r="A477" t="s">
        <v>1368</v>
      </c>
      <c r="B477" t="s">
        <v>1369</v>
      </c>
      <c r="C477" t="s">
        <v>1370</v>
      </c>
      <c r="D477" t="s">
        <v>48</v>
      </c>
      <c r="E477" t="s">
        <v>1021</v>
      </c>
      <c r="F477" t="s">
        <v>262</v>
      </c>
      <c r="G477" s="5">
        <v>119500</v>
      </c>
      <c r="H477" t="s">
        <v>270</v>
      </c>
      <c r="I477" t="s">
        <v>1175</v>
      </c>
      <c r="K477" t="s">
        <v>1255</v>
      </c>
    </row>
    <row r="478" spans="1:11" hidden="1" x14ac:dyDescent="0.25">
      <c r="A478" t="s">
        <v>1371</v>
      </c>
      <c r="B478" t="s">
        <v>1372</v>
      </c>
      <c r="C478" t="s">
        <v>1373</v>
      </c>
      <c r="D478" t="s">
        <v>48</v>
      </c>
      <c r="E478" t="s">
        <v>1016</v>
      </c>
      <c r="F478" t="s">
        <v>279</v>
      </c>
      <c r="G478" s="5">
        <v>90000</v>
      </c>
      <c r="H478" t="s">
        <v>270</v>
      </c>
      <c r="I478" t="s">
        <v>1265</v>
      </c>
      <c r="K478" t="s">
        <v>1265</v>
      </c>
    </row>
    <row r="479" spans="1:11" hidden="1" x14ac:dyDescent="0.25">
      <c r="A479" t="s">
        <v>1374</v>
      </c>
      <c r="B479" t="s">
        <v>1375</v>
      </c>
      <c r="C479" t="s">
        <v>1376</v>
      </c>
      <c r="D479" t="s">
        <v>48</v>
      </c>
      <c r="E479" t="s">
        <v>1026</v>
      </c>
      <c r="F479" t="s">
        <v>279</v>
      </c>
      <c r="G479" s="5">
        <v>98000</v>
      </c>
      <c r="H479" t="s">
        <v>270</v>
      </c>
      <c r="I479" t="s">
        <v>1274</v>
      </c>
      <c r="K479" t="s">
        <v>1275</v>
      </c>
    </row>
    <row r="480" spans="1:11" hidden="1" x14ac:dyDescent="0.25">
      <c r="A480" t="s">
        <v>1377</v>
      </c>
      <c r="B480" t="s">
        <v>1378</v>
      </c>
      <c r="C480" t="s">
        <v>1379</v>
      </c>
      <c r="D480" t="s">
        <v>48</v>
      </c>
      <c r="E480" t="s">
        <v>1019</v>
      </c>
      <c r="F480" t="s">
        <v>279</v>
      </c>
      <c r="G480" s="5">
        <v>103500</v>
      </c>
      <c r="H480" t="s">
        <v>270</v>
      </c>
      <c r="I480" t="s">
        <v>154</v>
      </c>
      <c r="K480" t="s">
        <v>1288</v>
      </c>
    </row>
    <row r="481" spans="1:11" hidden="1" x14ac:dyDescent="0.25">
      <c r="A481" t="s">
        <v>1380</v>
      </c>
      <c r="B481" t="s">
        <v>1381</v>
      </c>
      <c r="C481" t="s">
        <v>1382</v>
      </c>
      <c r="D481" t="s">
        <v>50</v>
      </c>
      <c r="E481" t="s">
        <v>1111</v>
      </c>
      <c r="F481" t="s">
        <v>262</v>
      </c>
      <c r="G481" s="5">
        <v>70000</v>
      </c>
      <c r="H481" t="s">
        <v>270</v>
      </c>
      <c r="I481" t="s">
        <v>1242</v>
      </c>
      <c r="K481" t="s">
        <v>1243</v>
      </c>
    </row>
    <row r="482" spans="1:11" hidden="1" x14ac:dyDescent="0.25">
      <c r="A482" t="s">
        <v>1383</v>
      </c>
      <c r="B482" t="s">
        <v>1384</v>
      </c>
      <c r="C482" t="s">
        <v>1385</v>
      </c>
      <c r="D482" t="s">
        <v>50</v>
      </c>
      <c r="E482" t="s">
        <v>1102</v>
      </c>
      <c r="F482" t="s">
        <v>262</v>
      </c>
      <c r="G482" s="5">
        <v>66000</v>
      </c>
      <c r="H482" t="s">
        <v>270</v>
      </c>
      <c r="I482" t="s">
        <v>1238</v>
      </c>
      <c r="K482" t="s">
        <v>1238</v>
      </c>
    </row>
    <row r="483" spans="1:11" hidden="1" x14ac:dyDescent="0.25">
      <c r="A483" t="s">
        <v>1386</v>
      </c>
      <c r="B483" t="s">
        <v>1387</v>
      </c>
      <c r="C483" t="s">
        <v>1388</v>
      </c>
      <c r="D483" t="s">
        <v>50</v>
      </c>
      <c r="E483" t="s">
        <v>1102</v>
      </c>
      <c r="F483" t="s">
        <v>279</v>
      </c>
      <c r="G483" s="5">
        <v>58500</v>
      </c>
      <c r="H483" t="s">
        <v>270</v>
      </c>
      <c r="I483" t="s">
        <v>1266</v>
      </c>
      <c r="K483" t="s">
        <v>1255</v>
      </c>
    </row>
    <row r="484" spans="1:11" hidden="1" x14ac:dyDescent="0.25">
      <c r="A484" t="s">
        <v>1389</v>
      </c>
      <c r="B484" t="s">
        <v>1390</v>
      </c>
      <c r="C484" t="s">
        <v>1391</v>
      </c>
      <c r="D484" t="s">
        <v>50</v>
      </c>
      <c r="E484" t="s">
        <v>1102</v>
      </c>
      <c r="F484" t="s">
        <v>269</v>
      </c>
      <c r="G484" s="5">
        <v>77000</v>
      </c>
      <c r="H484" t="s">
        <v>270</v>
      </c>
      <c r="I484" t="s">
        <v>1275</v>
      </c>
      <c r="K484" t="s">
        <v>1275</v>
      </c>
    </row>
    <row r="485" spans="1:11" hidden="1" x14ac:dyDescent="0.25">
      <c r="A485" t="s">
        <v>1392</v>
      </c>
      <c r="B485" t="s">
        <v>1393</v>
      </c>
      <c r="C485" t="s">
        <v>1394</v>
      </c>
      <c r="D485" t="s">
        <v>50</v>
      </c>
      <c r="E485" t="s">
        <v>1105</v>
      </c>
      <c r="F485" t="s">
        <v>262</v>
      </c>
      <c r="G485" s="5">
        <v>61500</v>
      </c>
      <c r="H485" t="s">
        <v>270</v>
      </c>
      <c r="I485" t="s">
        <v>154</v>
      </c>
      <c r="K485" t="s">
        <v>1274</v>
      </c>
    </row>
    <row r="486" spans="1:11" hidden="1" x14ac:dyDescent="0.25">
      <c r="B486" t="s">
        <v>1285</v>
      </c>
      <c r="C486" t="s">
        <v>1395</v>
      </c>
      <c r="D486" t="s">
        <v>50</v>
      </c>
      <c r="E486" t="s">
        <v>1111</v>
      </c>
      <c r="F486" t="s">
        <v>262</v>
      </c>
      <c r="G486" s="5">
        <v>61000</v>
      </c>
      <c r="H486" t="s">
        <v>1287</v>
      </c>
      <c r="K486" t="s">
        <v>1290</v>
      </c>
    </row>
    <row r="487" spans="1:11" hidden="1" x14ac:dyDescent="0.25">
      <c r="A487" t="s">
        <v>1396</v>
      </c>
      <c r="B487" t="s">
        <v>1397</v>
      </c>
      <c r="C487" t="s">
        <v>1398</v>
      </c>
      <c r="D487" t="s">
        <v>51</v>
      </c>
      <c r="E487" t="s">
        <v>1182</v>
      </c>
      <c r="F487" t="s">
        <v>290</v>
      </c>
      <c r="G487" s="5">
        <v>162000</v>
      </c>
      <c r="H487" t="s">
        <v>270</v>
      </c>
      <c r="I487" t="s">
        <v>1250</v>
      </c>
      <c r="K487" t="s">
        <v>1238</v>
      </c>
    </row>
    <row r="488" spans="1:11" hidden="1" x14ac:dyDescent="0.25">
      <c r="A488" t="s">
        <v>1399</v>
      </c>
      <c r="B488" t="s">
        <v>849</v>
      </c>
      <c r="C488" t="s">
        <v>1400</v>
      </c>
      <c r="D488" t="s">
        <v>51</v>
      </c>
      <c r="E488" t="s">
        <v>1188</v>
      </c>
      <c r="F488" t="s">
        <v>274</v>
      </c>
      <c r="G488" s="5">
        <v>162000</v>
      </c>
      <c r="H488" t="s">
        <v>270</v>
      </c>
      <c r="I488" t="s">
        <v>1255</v>
      </c>
      <c r="K488" t="s">
        <v>1255</v>
      </c>
    </row>
    <row r="489" spans="1:11" hidden="1" x14ac:dyDescent="0.25">
      <c r="A489" t="s">
        <v>1401</v>
      </c>
      <c r="B489" t="s">
        <v>1402</v>
      </c>
      <c r="C489" t="s">
        <v>1403</v>
      </c>
      <c r="D489" t="s">
        <v>51</v>
      </c>
      <c r="E489" t="s">
        <v>1180</v>
      </c>
      <c r="F489" t="s">
        <v>262</v>
      </c>
      <c r="G489" s="5">
        <v>115000</v>
      </c>
      <c r="H489" t="s">
        <v>270</v>
      </c>
      <c r="I489" t="s">
        <v>431</v>
      </c>
      <c r="K489" t="s">
        <v>1265</v>
      </c>
    </row>
    <row r="490" spans="1:11" hidden="1" x14ac:dyDescent="0.25">
      <c r="A490" t="s">
        <v>1404</v>
      </c>
      <c r="B490" t="s">
        <v>879</v>
      </c>
      <c r="C490" t="s">
        <v>1405</v>
      </c>
      <c r="D490" t="s">
        <v>51</v>
      </c>
      <c r="E490" t="s">
        <v>1182</v>
      </c>
      <c r="F490" t="s">
        <v>262</v>
      </c>
      <c r="G490" s="5">
        <v>116500</v>
      </c>
      <c r="H490" t="s">
        <v>270</v>
      </c>
      <c r="I490" t="s">
        <v>612</v>
      </c>
      <c r="K490" t="s">
        <v>1275</v>
      </c>
    </row>
    <row r="491" spans="1:11" hidden="1" x14ac:dyDescent="0.25">
      <c r="B491" t="s">
        <v>1285</v>
      </c>
      <c r="C491" t="s">
        <v>1406</v>
      </c>
      <c r="D491" t="s">
        <v>51</v>
      </c>
      <c r="E491" t="s">
        <v>1188</v>
      </c>
      <c r="F491" t="s">
        <v>269</v>
      </c>
      <c r="G491" s="5">
        <v>133500</v>
      </c>
      <c r="H491" t="s">
        <v>1287</v>
      </c>
      <c r="K491" t="s">
        <v>1290</v>
      </c>
    </row>
  </sheetData>
  <autoFilter ref="A1:K491" xr:uid="{00000000-0009-0000-0000-000004000000}">
    <filterColumn colId="3">
      <filters>
        <filter val="R&amp;D"/>
      </filters>
    </filterColumn>
  </autoFilter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6"/>
  <sheetViews>
    <sheetView workbookViewId="0">
      <pane ySplit="1" topLeftCell="A2" activePane="bottomLeft" state="frozen"/>
      <selection pane="bottomLeft" activeCell="G8" sqref="G8:G10"/>
    </sheetView>
  </sheetViews>
  <sheetFormatPr defaultRowHeight="15" x14ac:dyDescent="0.25"/>
  <cols>
    <col min="1" max="1" width="12" customWidth="1"/>
    <col min="2" max="9" width="18" customWidth="1"/>
  </cols>
  <sheetData>
    <row r="1" spans="1:9" ht="30" x14ac:dyDescent="0.25">
      <c r="A1" s="3" t="s">
        <v>24</v>
      </c>
      <c r="B1" s="3" t="s">
        <v>1407</v>
      </c>
      <c r="C1" s="3" t="s">
        <v>1408</v>
      </c>
      <c r="D1" s="3" t="s">
        <v>1409</v>
      </c>
      <c r="E1" s="3" t="s">
        <v>1410</v>
      </c>
      <c r="F1" s="3" t="s">
        <v>1411</v>
      </c>
      <c r="G1" s="3" t="s">
        <v>1412</v>
      </c>
      <c r="H1" s="3" t="s">
        <v>1413</v>
      </c>
      <c r="I1" s="3" t="s">
        <v>1414</v>
      </c>
    </row>
    <row r="2" spans="1:9" x14ac:dyDescent="0.25">
      <c r="A2" t="s">
        <v>30</v>
      </c>
      <c r="B2" s="5">
        <v>108000000</v>
      </c>
      <c r="C2" s="5">
        <v>1219680</v>
      </c>
      <c r="D2" s="5">
        <v>450000</v>
      </c>
      <c r="E2" s="5">
        <v>108769680</v>
      </c>
      <c r="F2" s="5">
        <v>108000000</v>
      </c>
      <c r="G2" s="5">
        <v>1134302.3999999999</v>
      </c>
      <c r="H2" s="5">
        <v>410000</v>
      </c>
      <c r="I2" s="5">
        <v>108724302.40000001</v>
      </c>
    </row>
    <row r="3" spans="1:9" x14ac:dyDescent="0.25">
      <c r="A3" t="s">
        <v>60</v>
      </c>
      <c r="B3" s="5">
        <v>108769680</v>
      </c>
      <c r="C3" s="5">
        <v>1663200</v>
      </c>
      <c r="D3" s="5">
        <v>450000</v>
      </c>
      <c r="E3" s="5">
        <v>109982880</v>
      </c>
      <c r="F3" s="5">
        <v>108724302.40000001</v>
      </c>
      <c r="G3" s="5">
        <v>1746360</v>
      </c>
      <c r="H3" s="5">
        <v>470000</v>
      </c>
      <c r="I3" s="5">
        <v>110000662.40000001</v>
      </c>
    </row>
    <row r="4" spans="1:9" x14ac:dyDescent="0.25">
      <c r="A4" t="s">
        <v>61</v>
      </c>
      <c r="B4" s="5">
        <v>109982880</v>
      </c>
      <c r="C4" s="5">
        <v>2661120</v>
      </c>
      <c r="D4" s="5">
        <v>450000</v>
      </c>
      <c r="E4" s="5">
        <v>112194000</v>
      </c>
      <c r="F4" s="5">
        <v>110000662.40000001</v>
      </c>
      <c r="G4" s="5">
        <v>2581286.4</v>
      </c>
      <c r="H4" s="5">
        <v>520000</v>
      </c>
      <c r="I4" s="5">
        <v>112061948.8</v>
      </c>
    </row>
    <row r="5" spans="1:9" x14ac:dyDescent="0.25">
      <c r="A5" t="s">
        <v>62</v>
      </c>
      <c r="B5" s="5">
        <v>112194000</v>
      </c>
      <c r="C5" s="5">
        <v>1393920</v>
      </c>
      <c r="D5" s="5">
        <v>450000</v>
      </c>
      <c r="E5" s="5">
        <v>113137920</v>
      </c>
      <c r="F5" s="5">
        <v>112061948.8</v>
      </c>
      <c r="G5" s="5">
        <v>1449676.8</v>
      </c>
      <c r="H5" s="5">
        <v>430000</v>
      </c>
      <c r="I5" s="5">
        <v>113081625.59999999</v>
      </c>
    </row>
    <row r="6" spans="1:9" x14ac:dyDescent="0.25">
      <c r="A6" t="s">
        <v>63</v>
      </c>
      <c r="B6" s="5">
        <v>113137920</v>
      </c>
      <c r="C6" s="5">
        <v>1900800</v>
      </c>
      <c r="D6" s="5">
        <v>450000</v>
      </c>
      <c r="E6" s="5">
        <v>114588720</v>
      </c>
      <c r="F6" s="5">
        <v>113081625.59999999</v>
      </c>
      <c r="G6" s="5">
        <v>1805760</v>
      </c>
      <c r="H6" s="5">
        <v>390000</v>
      </c>
      <c r="I6" s="5">
        <v>114497385.59999999</v>
      </c>
    </row>
    <row r="7" spans="1:9" x14ac:dyDescent="0.25">
      <c r="A7" t="s">
        <v>64</v>
      </c>
      <c r="B7" s="5">
        <v>114588720</v>
      </c>
      <c r="C7" s="5">
        <v>3041280</v>
      </c>
      <c r="D7" s="5">
        <v>450000</v>
      </c>
      <c r="E7" s="5">
        <v>117180000</v>
      </c>
      <c r="F7" s="5">
        <v>114497385.59999999</v>
      </c>
      <c r="G7" s="5">
        <v>3102105.6000000001</v>
      </c>
      <c r="H7" s="5">
        <v>480000</v>
      </c>
      <c r="I7" s="5">
        <v>117119491.2</v>
      </c>
    </row>
    <row r="8" spans="1:9" x14ac:dyDescent="0.25">
      <c r="A8" t="s">
        <v>65</v>
      </c>
      <c r="B8" s="5">
        <v>117180000</v>
      </c>
      <c r="C8" s="5">
        <v>1510080</v>
      </c>
      <c r="D8" s="5">
        <v>450000</v>
      </c>
      <c r="E8" s="5">
        <v>118240080</v>
      </c>
      <c r="F8" s="5">
        <v>117119491.2</v>
      </c>
      <c r="G8" s="5">
        <v>1419475.2</v>
      </c>
      <c r="H8" s="5">
        <v>445000</v>
      </c>
      <c r="I8" s="5">
        <v>118093966.40000001</v>
      </c>
    </row>
    <row r="9" spans="1:9" x14ac:dyDescent="0.25">
      <c r="A9" t="s">
        <v>66</v>
      </c>
      <c r="B9" s="5">
        <v>118240080</v>
      </c>
      <c r="C9" s="5">
        <v>2059200</v>
      </c>
      <c r="D9" s="5">
        <v>450000</v>
      </c>
      <c r="E9" s="5">
        <v>119849280</v>
      </c>
      <c r="F9" s="5">
        <v>118093966.40000001</v>
      </c>
      <c r="G9" s="5">
        <v>1997424</v>
      </c>
      <c r="H9" s="5">
        <v>460000</v>
      </c>
      <c r="I9" s="5">
        <v>119631390.40000001</v>
      </c>
    </row>
    <row r="10" spans="1:9" x14ac:dyDescent="0.25">
      <c r="A10" t="s">
        <v>67</v>
      </c>
      <c r="B10" s="5">
        <v>119849280</v>
      </c>
      <c r="C10" s="5">
        <v>3294720</v>
      </c>
      <c r="D10" s="5">
        <v>450000</v>
      </c>
      <c r="E10" s="5">
        <v>122694000</v>
      </c>
      <c r="F10" s="5">
        <v>119631390.40000001</v>
      </c>
      <c r="G10" s="5">
        <v>4480819.2000000002</v>
      </c>
      <c r="H10" s="5">
        <v>1710000</v>
      </c>
      <c r="I10" s="5">
        <v>122402209.59999999</v>
      </c>
    </row>
    <row r="11" spans="1:9" x14ac:dyDescent="0.25">
      <c r="A11" t="s">
        <v>68</v>
      </c>
      <c r="B11" s="5">
        <v>122694000</v>
      </c>
      <c r="C11" s="5">
        <v>1684320</v>
      </c>
      <c r="D11" s="5">
        <v>450000</v>
      </c>
      <c r="E11" s="5">
        <v>123928320</v>
      </c>
      <c r="F11" s="5"/>
      <c r="G11" s="5"/>
      <c r="H11" s="5"/>
      <c r="I11" s="5"/>
    </row>
    <row r="12" spans="1:9" x14ac:dyDescent="0.25">
      <c r="A12" t="s">
        <v>69</v>
      </c>
      <c r="B12" s="5">
        <v>123928320</v>
      </c>
      <c r="C12" s="5">
        <v>2296800</v>
      </c>
      <c r="D12" s="5">
        <v>450000</v>
      </c>
      <c r="E12" s="5">
        <v>125775120</v>
      </c>
      <c r="F12" s="5"/>
      <c r="G12" s="5"/>
      <c r="H12" s="5"/>
      <c r="I12" s="5"/>
    </row>
    <row r="13" spans="1:9" x14ac:dyDescent="0.25">
      <c r="A13" t="s">
        <v>70</v>
      </c>
      <c r="B13" s="5">
        <v>125775120</v>
      </c>
      <c r="C13" s="5">
        <v>3674880</v>
      </c>
      <c r="D13" s="5">
        <v>450000</v>
      </c>
      <c r="E13" s="5">
        <v>129000000</v>
      </c>
      <c r="F13" s="5"/>
      <c r="G13" s="5"/>
      <c r="H13" s="5"/>
      <c r="I13" s="5"/>
    </row>
    <row r="15" spans="1:9" x14ac:dyDescent="0.25">
      <c r="B15" t="s">
        <v>1456</v>
      </c>
    </row>
    <row r="16" spans="1:9" x14ac:dyDescent="0.25">
      <c r="B16" s="29">
        <f>GL_Detail_Sep!H54/ARR_Drivers!G10</f>
        <v>0.10999999955365304</v>
      </c>
    </row>
  </sheetData>
  <autoFilter ref="A1:I13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7" width="22" customWidth="1"/>
  </cols>
  <sheetData>
    <row r="1" spans="1:7" ht="30" x14ac:dyDescent="0.25">
      <c r="A1" s="3" t="s">
        <v>24</v>
      </c>
      <c r="B1" s="3" t="s">
        <v>32</v>
      </c>
      <c r="C1" s="3" t="s">
        <v>1415</v>
      </c>
      <c r="D1" s="3" t="s">
        <v>34</v>
      </c>
      <c r="E1" s="3" t="s">
        <v>39</v>
      </c>
      <c r="F1" s="3" t="s">
        <v>47</v>
      </c>
      <c r="G1" s="3" t="s">
        <v>49</v>
      </c>
    </row>
    <row r="2" spans="1:7" x14ac:dyDescent="0.25">
      <c r="A2" t="s">
        <v>1416</v>
      </c>
      <c r="B2" s="5">
        <v>7366061.4755096808</v>
      </c>
      <c r="C2" s="5">
        <v>638926.42140888062</v>
      </c>
      <c r="D2" s="5">
        <v>1692856.0249185711</v>
      </c>
      <c r="E2" s="5">
        <v>3455695.4543935829</v>
      </c>
      <c r="F2" s="5">
        <v>2107080.0241725389</v>
      </c>
      <c r="G2" s="5">
        <v>1106872.601423803</v>
      </c>
    </row>
    <row r="3" spans="1:7" x14ac:dyDescent="0.25">
      <c r="A3" t="s">
        <v>1417</v>
      </c>
      <c r="B3" s="5">
        <v>7504494.6636467157</v>
      </c>
      <c r="C3" s="5">
        <v>588698.85848244315</v>
      </c>
      <c r="D3" s="5">
        <v>1659520.9535229921</v>
      </c>
      <c r="E3" s="5">
        <v>3247121.2286795299</v>
      </c>
      <c r="F3" s="5">
        <v>2051267.8030877269</v>
      </c>
      <c r="G3" s="5">
        <v>1128192.0855867481</v>
      </c>
    </row>
    <row r="4" spans="1:7" x14ac:dyDescent="0.25">
      <c r="A4" t="s">
        <v>1418</v>
      </c>
      <c r="B4" s="5">
        <v>7521337.5422844905</v>
      </c>
      <c r="C4" s="5">
        <v>523514.10411089752</v>
      </c>
      <c r="D4" s="5">
        <v>1601117.367214483</v>
      </c>
      <c r="E4" s="5">
        <v>3521196.273716507</v>
      </c>
      <c r="F4" s="5">
        <v>2092986.5232233871</v>
      </c>
      <c r="G4" s="5">
        <v>1090733.1511569519</v>
      </c>
    </row>
    <row r="5" spans="1:7" x14ac:dyDescent="0.25">
      <c r="A5" t="s">
        <v>1419</v>
      </c>
      <c r="B5" s="5">
        <v>7703791.3959663492</v>
      </c>
      <c r="C5" s="5">
        <v>656874.33209061634</v>
      </c>
      <c r="D5" s="5">
        <v>1740776.9853482379</v>
      </c>
      <c r="E5" s="5">
        <v>3437433.1461568219</v>
      </c>
      <c r="F5" s="5">
        <v>2145820.7584429309</v>
      </c>
      <c r="G5" s="5">
        <v>1080139.930520463</v>
      </c>
    </row>
    <row r="6" spans="1:7" x14ac:dyDescent="0.25">
      <c r="A6" t="s">
        <v>1420</v>
      </c>
      <c r="B6" s="5">
        <v>7851756.9602801194</v>
      </c>
      <c r="C6" s="5">
        <v>640905.58837604686</v>
      </c>
      <c r="D6" s="5">
        <v>1739846.5386120139</v>
      </c>
      <c r="E6" s="5">
        <v>3788007.290549966</v>
      </c>
      <c r="F6" s="5">
        <v>2219572.5263336282</v>
      </c>
      <c r="G6" s="5">
        <v>1110207.5160354639</v>
      </c>
    </row>
    <row r="7" spans="1:7" x14ac:dyDescent="0.25">
      <c r="A7" t="s">
        <v>1421</v>
      </c>
      <c r="B7" s="5">
        <v>7874202.0802490124</v>
      </c>
      <c r="C7" s="5">
        <v>579885.39863264759</v>
      </c>
      <c r="D7" s="5">
        <v>1685795.360205194</v>
      </c>
      <c r="E7" s="5">
        <v>3482288.273914326</v>
      </c>
      <c r="F7" s="5">
        <v>2185691.2076624269</v>
      </c>
      <c r="G7" s="5">
        <v>1100843.0557993059</v>
      </c>
    </row>
    <row r="8" spans="1:7" x14ac:dyDescent="0.25">
      <c r="A8" t="s">
        <v>1422</v>
      </c>
      <c r="B8" s="5">
        <v>8018096.0873246109</v>
      </c>
      <c r="C8" s="5">
        <v>674329.02403114189</v>
      </c>
      <c r="D8" s="5">
        <v>1786065.63822984</v>
      </c>
      <c r="E8" s="5">
        <v>3750987.1622430799</v>
      </c>
      <c r="F8" s="5">
        <v>2210575.5229161638</v>
      </c>
      <c r="G8" s="5">
        <v>1146208.738579212</v>
      </c>
    </row>
    <row r="9" spans="1:7" x14ac:dyDescent="0.25">
      <c r="A9" t="s">
        <v>1423</v>
      </c>
      <c r="B9" s="5">
        <v>8087927.3768156441</v>
      </c>
      <c r="C9" s="5">
        <v>690881.09272971808</v>
      </c>
      <c r="D9" s="5">
        <v>1807787.851355196</v>
      </c>
      <c r="E9" s="5">
        <v>3797095.9638469098</v>
      </c>
      <c r="F9" s="5">
        <v>2294391.5440768381</v>
      </c>
      <c r="G9" s="5">
        <v>1169532.6791634329</v>
      </c>
    </row>
    <row r="10" spans="1:7" x14ac:dyDescent="0.25">
      <c r="A10" t="s">
        <v>1424</v>
      </c>
      <c r="B10" s="5">
        <v>8367025.9201850249</v>
      </c>
      <c r="C10" s="5">
        <v>592806.84120299516</v>
      </c>
      <c r="D10" s="5">
        <v>1743515.7044839631</v>
      </c>
      <c r="E10" s="5">
        <v>3991347.566688301</v>
      </c>
      <c r="F10" s="5">
        <v>2247077.627121544</v>
      </c>
      <c r="G10" s="5">
        <v>1209328.420939174</v>
      </c>
    </row>
    <row r="11" spans="1:7" x14ac:dyDescent="0.25">
      <c r="A11" t="s">
        <v>1425</v>
      </c>
      <c r="B11" s="5">
        <v>8382307.2576192832</v>
      </c>
      <c r="C11" s="5">
        <v>546085.8751135387</v>
      </c>
      <c r="D11" s="5">
        <v>1701953.580063049</v>
      </c>
      <c r="E11" s="5">
        <v>4021582.8385037412</v>
      </c>
      <c r="F11" s="5">
        <v>2294425.371891045</v>
      </c>
      <c r="G11" s="5">
        <v>1191100.123984497</v>
      </c>
    </row>
    <row r="12" spans="1:7" x14ac:dyDescent="0.25">
      <c r="A12" t="s">
        <v>1426</v>
      </c>
      <c r="B12" s="5">
        <v>8472193.4038523808</v>
      </c>
      <c r="C12" s="5">
        <v>632166.3136788602</v>
      </c>
      <c r="D12" s="5">
        <v>1789506.9951428231</v>
      </c>
      <c r="E12" s="5">
        <v>3652553.809889562</v>
      </c>
      <c r="F12" s="5">
        <v>2304548.0675643962</v>
      </c>
      <c r="G12" s="5">
        <v>1253871.260805127</v>
      </c>
    </row>
    <row r="13" spans="1:7" x14ac:dyDescent="0.25">
      <c r="A13" t="s">
        <v>1427</v>
      </c>
      <c r="B13" s="5">
        <v>8572107.1698883642</v>
      </c>
      <c r="C13" s="5">
        <v>627798.26571548753</v>
      </c>
      <c r="D13" s="5">
        <v>1794780.371257866</v>
      </c>
      <c r="E13" s="5">
        <v>3691386.0946729798</v>
      </c>
      <c r="F13" s="5">
        <v>2348578.6669487781</v>
      </c>
      <c r="G13" s="5">
        <v>1254560.5351915599</v>
      </c>
    </row>
  </sheetData>
  <autoFilter ref="A1:G13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8"/>
  <sheetViews>
    <sheetView workbookViewId="0">
      <pane ySplit="1" topLeftCell="A2" activePane="bottomLeft" state="frozen"/>
      <selection pane="bottomLeft" activeCell="C21" sqref="C21"/>
    </sheetView>
  </sheetViews>
  <sheetFormatPr defaultRowHeight="15" x14ac:dyDescent="0.25"/>
  <cols>
    <col min="1" max="1" width="12" customWidth="1"/>
    <col min="2" max="2" width="30" customWidth="1"/>
    <col min="3" max="3" width="120" customWidth="1"/>
  </cols>
  <sheetData>
    <row r="1" spans="1:3" x14ac:dyDescent="0.25">
      <c r="A1" s="3" t="s">
        <v>26</v>
      </c>
      <c r="B1" s="3" t="s">
        <v>27</v>
      </c>
      <c r="C1" s="3" t="s">
        <v>28</v>
      </c>
    </row>
    <row r="2" spans="1:3" x14ac:dyDescent="0.25">
      <c r="A2">
        <v>4000</v>
      </c>
      <c r="B2" t="s">
        <v>32</v>
      </c>
      <c r="C2" t="s">
        <v>31</v>
      </c>
    </row>
    <row r="3" spans="1:3" x14ac:dyDescent="0.25">
      <c r="A3">
        <v>4100</v>
      </c>
      <c r="B3" t="s">
        <v>33</v>
      </c>
      <c r="C3" t="s">
        <v>31</v>
      </c>
    </row>
    <row r="4" spans="1:3" x14ac:dyDescent="0.25">
      <c r="A4">
        <v>5000</v>
      </c>
      <c r="B4" t="s">
        <v>35</v>
      </c>
      <c r="C4" t="s">
        <v>34</v>
      </c>
    </row>
    <row r="5" spans="1:3" x14ac:dyDescent="0.25">
      <c r="A5">
        <v>5300</v>
      </c>
      <c r="B5" t="s">
        <v>36</v>
      </c>
      <c r="C5" t="s">
        <v>34</v>
      </c>
    </row>
    <row r="6" spans="1:3" x14ac:dyDescent="0.25">
      <c r="A6">
        <v>6000</v>
      </c>
      <c r="B6" t="s">
        <v>38</v>
      </c>
      <c r="C6" t="s">
        <v>1428</v>
      </c>
    </row>
    <row r="7" spans="1:3" x14ac:dyDescent="0.25">
      <c r="A7">
        <v>6010</v>
      </c>
      <c r="B7" t="s">
        <v>40</v>
      </c>
      <c r="C7" t="s">
        <v>1428</v>
      </c>
    </row>
    <row r="8" spans="1:3" x14ac:dyDescent="0.25">
      <c r="A8">
        <v>6020</v>
      </c>
      <c r="B8" t="s">
        <v>52</v>
      </c>
      <c r="C8" t="s">
        <v>1428</v>
      </c>
    </row>
    <row r="9" spans="1:3" x14ac:dyDescent="0.25">
      <c r="A9">
        <v>6100</v>
      </c>
      <c r="B9" t="s">
        <v>53</v>
      </c>
      <c r="C9" t="s">
        <v>1428</v>
      </c>
    </row>
    <row r="10" spans="1:3" x14ac:dyDescent="0.25">
      <c r="A10">
        <v>6200</v>
      </c>
      <c r="B10" t="s">
        <v>41</v>
      </c>
      <c r="C10" t="s">
        <v>1428</v>
      </c>
    </row>
    <row r="11" spans="1:3" x14ac:dyDescent="0.25">
      <c r="A11">
        <v>6300</v>
      </c>
      <c r="B11" t="s">
        <v>42</v>
      </c>
      <c r="C11" t="s">
        <v>1428</v>
      </c>
    </row>
    <row r="12" spans="1:3" x14ac:dyDescent="0.25">
      <c r="A12">
        <v>6400</v>
      </c>
      <c r="B12" t="s">
        <v>54</v>
      </c>
      <c r="C12" t="s">
        <v>1428</v>
      </c>
    </row>
    <row r="13" spans="1:3" x14ac:dyDescent="0.25">
      <c r="A13">
        <v>6410</v>
      </c>
      <c r="B13" t="s">
        <v>55</v>
      </c>
      <c r="C13" t="s">
        <v>1428</v>
      </c>
    </row>
    <row r="14" spans="1:3" x14ac:dyDescent="0.25">
      <c r="A14">
        <v>6500</v>
      </c>
      <c r="B14" t="s">
        <v>56</v>
      </c>
      <c r="C14" t="s">
        <v>1428</v>
      </c>
    </row>
    <row r="15" spans="1:3" x14ac:dyDescent="0.25">
      <c r="A15">
        <v>6510</v>
      </c>
      <c r="B15" t="s">
        <v>57</v>
      </c>
      <c r="C15" t="s">
        <v>1428</v>
      </c>
    </row>
    <row r="16" spans="1:3" x14ac:dyDescent="0.25">
      <c r="A16">
        <v>6600</v>
      </c>
      <c r="B16" t="s">
        <v>58</v>
      </c>
      <c r="C16" t="s">
        <v>1428</v>
      </c>
    </row>
    <row r="17" spans="1:3" x14ac:dyDescent="0.25">
      <c r="A17">
        <v>6700</v>
      </c>
      <c r="B17" t="s">
        <v>59</v>
      </c>
      <c r="C17" t="s">
        <v>1428</v>
      </c>
    </row>
    <row r="18" spans="1:3" x14ac:dyDescent="0.25">
      <c r="A18">
        <v>6800</v>
      </c>
      <c r="B18" t="s">
        <v>43</v>
      </c>
      <c r="C18" t="s">
        <v>1428</v>
      </c>
    </row>
  </sheetData>
  <autoFilter ref="A1:C18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000D1-1C65-4499-8CA6-AA9B6404CF79}">
  <dimension ref="A1:M20"/>
  <sheetViews>
    <sheetView workbookViewId="0">
      <selection activeCell="E9" sqref="E9"/>
    </sheetView>
  </sheetViews>
  <sheetFormatPr defaultColWidth="12.7109375" defaultRowHeight="15" x14ac:dyDescent="0.25"/>
  <cols>
    <col min="2" max="2" width="28.5703125" bestFit="1" customWidth="1"/>
    <col min="3" max="4" width="14.5703125" bestFit="1" customWidth="1"/>
    <col min="5" max="5" width="14.28515625" bestFit="1" customWidth="1"/>
    <col min="9" max="10" width="14.5703125" bestFit="1" customWidth="1"/>
    <col min="11" max="11" width="14.28515625" bestFit="1" customWidth="1"/>
  </cols>
  <sheetData>
    <row r="1" spans="1:13" x14ac:dyDescent="0.25">
      <c r="A1" s="6" t="s">
        <v>1432</v>
      </c>
      <c r="B1" s="7" t="s">
        <v>67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3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13" x14ac:dyDescent="0.25">
      <c r="A3" s="6"/>
      <c r="B3" s="8" t="s">
        <v>1433</v>
      </c>
      <c r="C3" s="8" t="s">
        <v>1434</v>
      </c>
      <c r="D3" s="8" t="s">
        <v>1435</v>
      </c>
      <c r="E3" s="8" t="s">
        <v>1436</v>
      </c>
      <c r="F3" s="8" t="s">
        <v>1437</v>
      </c>
      <c r="G3" s="8" t="s">
        <v>1438</v>
      </c>
      <c r="H3" s="9"/>
      <c r="I3" s="8" t="s">
        <v>1439</v>
      </c>
      <c r="J3" s="8" t="s">
        <v>1440</v>
      </c>
      <c r="K3" s="8" t="s">
        <v>1436</v>
      </c>
      <c r="L3" s="8" t="s">
        <v>1437</v>
      </c>
      <c r="M3" s="8" t="s">
        <v>1438</v>
      </c>
    </row>
    <row r="4" spans="1:13" x14ac:dyDescent="0.25">
      <c r="B4" t="s">
        <v>32</v>
      </c>
      <c r="C4" s="32">
        <f>SUMIFS(Budget!$F:$F,Budget!$D:$D,Summary!$B4,Budget!$A:$A,Summary!$B$1)</f>
        <v>10087220</v>
      </c>
      <c r="D4" s="32">
        <f>SUMIFS(GL_Actuals!$F:$F,GL_Actuals!$D:$D,Summary!$B4,GL_Actuals!$A:$A,Summary!$B$1)</f>
        <v>10013483.33</v>
      </c>
      <c r="E4" s="32">
        <f>D4-C4</f>
        <v>-73736.669999999925</v>
      </c>
      <c r="F4" s="16">
        <f>E4/C4</f>
        <v>-7.3099099652827963E-3</v>
      </c>
      <c r="G4" s="6" t="str">
        <f>IF(E4&gt;=0,"F","U")</f>
        <v>U</v>
      </c>
      <c r="I4" s="32">
        <f>SUMIFS(Budget!$F:$F,Budget!$D:$D,Summary!$B4,Budget!$A:$A,"&lt;="&amp;$B$1)</f>
        <v>85605380</v>
      </c>
      <c r="J4" s="32">
        <f>SUMIFS(GL_Actuals!$F:$F,GL_Actuals!$D:$D,Summary!$B4,GL_Actuals!$A:$A,"&lt;="&amp;$B$1)</f>
        <v>85479531.459999993</v>
      </c>
      <c r="K4" s="32">
        <f>J4-I4</f>
        <v>-125848.54000000656</v>
      </c>
      <c r="L4" s="16">
        <f>K4/I4</f>
        <v>-1.4701008277751533E-3</v>
      </c>
      <c r="M4" s="6" t="str">
        <f>IF(K4&gt;=0,"F","U")</f>
        <v>U</v>
      </c>
    </row>
    <row r="5" spans="1:13" x14ac:dyDescent="0.25">
      <c r="B5" s="13" t="s">
        <v>33</v>
      </c>
      <c r="C5" s="33">
        <f>SUMIFS(Budget!$F:$F,Budget!$D:$D,Summary!$B5,Budget!$A:$A,Summary!$B$1)</f>
        <v>790000</v>
      </c>
      <c r="D5" s="33">
        <f>SUMIFS(GL_Actuals!$F:$F,GL_Actuals!$D:$D,Summary!$B5,GL_Actuals!$A:$A,Summary!$B$1)</f>
        <v>561400</v>
      </c>
      <c r="E5" s="33">
        <f t="shared" ref="E5:E15" si="0">D5-C5</f>
        <v>-228600</v>
      </c>
      <c r="F5" s="18">
        <f t="shared" ref="F5:F14" si="1">E5/C5</f>
        <v>-0.28936708860759491</v>
      </c>
      <c r="G5" s="15" t="str">
        <f>IF(E5&gt;=0,"F","U")</f>
        <v>U</v>
      </c>
      <c r="I5" s="33">
        <f>SUMIFS(Budget!$F:$F,Budget!$D:$D,Summary!$B5,Budget!$A:$A,"&lt;="&amp;$B$1)</f>
        <v>6820000</v>
      </c>
      <c r="J5" s="33">
        <f>SUMIFS(GL_Actuals!$F:$F,GL_Actuals!$D:$D,Summary!$B5,GL_Actuals!$A:$A,"&lt;="&amp;$B$1)</f>
        <v>6526300</v>
      </c>
      <c r="K5" s="33">
        <f t="shared" ref="K5:K15" si="2">J5-I5</f>
        <v>-293700</v>
      </c>
      <c r="L5" s="18">
        <f t="shared" ref="L5:L8" si="3">K5/I5</f>
        <v>-4.3064516129032261E-2</v>
      </c>
      <c r="M5" s="15" t="str">
        <f>IF(K5&gt;=0,"F","U")</f>
        <v>U</v>
      </c>
    </row>
    <row r="6" spans="1:13" x14ac:dyDescent="0.25">
      <c r="B6" s="12" t="s">
        <v>1441</v>
      </c>
      <c r="C6" s="32">
        <f>SUM(C4:C5)</f>
        <v>10877220</v>
      </c>
      <c r="D6" s="32">
        <f>SUM(D4:D5)</f>
        <v>10574883.33</v>
      </c>
      <c r="E6" s="32">
        <f t="shared" si="0"/>
        <v>-302336.66999999993</v>
      </c>
      <c r="F6" s="16">
        <f t="shared" si="1"/>
        <v>-2.7795399008202458E-2</v>
      </c>
      <c r="G6" s="6" t="str">
        <f>IF(E6&gt;=0,"F","U")</f>
        <v>U</v>
      </c>
      <c r="I6" s="32">
        <f>SUM(I4:I5)</f>
        <v>92425380</v>
      </c>
      <c r="J6" s="32">
        <f>SUM(J4:J5)</f>
        <v>92005831.459999993</v>
      </c>
      <c r="K6" s="32">
        <f t="shared" si="2"/>
        <v>-419548.54000000656</v>
      </c>
      <c r="L6" s="16">
        <f t="shared" si="3"/>
        <v>-4.5393217750363214E-3</v>
      </c>
      <c r="M6" s="6" t="str">
        <f>IF(K6&gt;=0,"F","U")</f>
        <v>U</v>
      </c>
    </row>
    <row r="7" spans="1:13" x14ac:dyDescent="0.25">
      <c r="B7" s="13" t="s">
        <v>34</v>
      </c>
      <c r="C7" s="33">
        <f>SUMIFS(Budget!$F:$F,Budget!$E:$E,Summary!$B7,Budget!$A:$A,Summary!$B$1)</f>
        <v>1979694.4300000002</v>
      </c>
      <c r="D7" s="33">
        <f>SUMIFS(GL_Actuals!$F:$F,GL_Actuals!$E:$E,Summary!$B7,GL_Actuals!$A:$A,Summary!$B$1)</f>
        <v>2132628.0299999998</v>
      </c>
      <c r="E7" s="33">
        <f t="shared" si="0"/>
        <v>152933.59999999963</v>
      </c>
      <c r="F7" s="18">
        <f t="shared" si="1"/>
        <v>7.7251113950954353E-2</v>
      </c>
      <c r="G7" s="15" t="str">
        <f>IF(E7&lt;=0,"F","U")</f>
        <v>U</v>
      </c>
      <c r="I7" s="33">
        <f>SUMIFS(Budget!$F:$F,Budget!$E:$E,Summary!$B7,Budget!$A:$A,"&lt;="&amp;$B$1)</f>
        <v>16998404.609999999</v>
      </c>
      <c r="J7" s="33">
        <f>SUMIFS(GL_Actuals!$F:$F,GL_Actuals!$E:$E,Summary!$B7,GL_Actuals!$A:$A,"&lt;="&amp;$B$1)</f>
        <v>17401709.909999996</v>
      </c>
      <c r="K7" s="33">
        <f t="shared" si="2"/>
        <v>403305.29999999702</v>
      </c>
      <c r="L7" s="18">
        <f t="shared" si="3"/>
        <v>2.3726067784192898E-2</v>
      </c>
      <c r="M7" s="15" t="str">
        <f>IF(K7&lt;=0,"F","U")</f>
        <v>U</v>
      </c>
    </row>
    <row r="8" spans="1:13" x14ac:dyDescent="0.25">
      <c r="B8" s="12" t="s">
        <v>1442</v>
      </c>
      <c r="C8" s="32">
        <f>C6-C7</f>
        <v>8897525.5700000003</v>
      </c>
      <c r="D8" s="32">
        <f>D6-D7</f>
        <v>8442255.3000000007</v>
      </c>
      <c r="E8" s="32">
        <f t="shared" si="0"/>
        <v>-455270.26999999955</v>
      </c>
      <c r="F8" s="16">
        <f t="shared" si="1"/>
        <v>-5.1168189000214311E-2</v>
      </c>
      <c r="G8" s="6" t="str">
        <f>IF(E8&gt;=0,"F","U")</f>
        <v>U</v>
      </c>
      <c r="I8" s="32">
        <f>I6-I7</f>
        <v>75426975.390000001</v>
      </c>
      <c r="J8" s="32">
        <f>J6-J7</f>
        <v>74604121.549999997</v>
      </c>
      <c r="K8" s="32">
        <f t="shared" si="2"/>
        <v>-822853.84000000358</v>
      </c>
      <c r="L8" s="16">
        <f t="shared" si="3"/>
        <v>-1.0909277957194825E-2</v>
      </c>
      <c r="M8" s="6" t="str">
        <f>IF(K8&gt;=0,"F","U")</f>
        <v>U</v>
      </c>
    </row>
    <row r="9" spans="1:13" x14ac:dyDescent="0.25">
      <c r="B9" t="s">
        <v>1443</v>
      </c>
      <c r="C9" s="11">
        <f>C8/C6</f>
        <v>0.81799628673502978</v>
      </c>
      <c r="D9" s="11">
        <f>D8/D6</f>
        <v>0.79833082186827309</v>
      </c>
      <c r="E9" s="14">
        <f t="shared" si="0"/>
        <v>-1.9665464866756688E-2</v>
      </c>
      <c r="F9" s="16" t="s">
        <v>1447</v>
      </c>
      <c r="G9" s="6" t="str">
        <f>IF(E9&gt;=0,"F","U")</f>
        <v>U</v>
      </c>
      <c r="I9" s="11">
        <f>I8/I6</f>
        <v>0.81608509902799431</v>
      </c>
      <c r="J9" s="11">
        <f>J8/J6</f>
        <v>0.81086296777215172</v>
      </c>
      <c r="K9" s="14">
        <f t="shared" si="2"/>
        <v>-5.2221312558425881E-3</v>
      </c>
      <c r="L9" s="16" t="s">
        <v>1447</v>
      </c>
      <c r="M9" s="6" t="str">
        <f>IF(K9&gt;=0,"F","U")</f>
        <v>U</v>
      </c>
    </row>
    <row r="10" spans="1:13" x14ac:dyDescent="0.25">
      <c r="B10" t="s">
        <v>39</v>
      </c>
      <c r="C10" s="32">
        <f>SUMIFS(Budget!$F:$F,Budget!$E:$E,Summary!$B10,Budget!$A:$A,Summary!$B$1)</f>
        <v>3021337.54</v>
      </c>
      <c r="D10" s="32">
        <f>SUMIFS(GL_Actuals!$F:$F,GL_Actuals!$E:$E,Summary!$B10,GL_Actuals!$A:$A,Summary!$B$1)</f>
        <v>3551319.1799999997</v>
      </c>
      <c r="E10" s="32">
        <f t="shared" si="0"/>
        <v>529981.63999999966</v>
      </c>
      <c r="F10" s="16">
        <f t="shared" si="1"/>
        <v>0.17541291993479141</v>
      </c>
      <c r="G10" s="6" t="str">
        <f t="shared" ref="G10:G12" si="4">IF(E10&lt;=0,"F","U")</f>
        <v>U</v>
      </c>
      <c r="I10" s="32">
        <f>SUMIFS(Budget!$F:$F,Budget!$E:$E,Summary!$B10,Budget!$A:$A,"&lt;="&amp;$B$1)</f>
        <v>24692682.570000011</v>
      </c>
      <c r="J10" s="32">
        <f>SUMIFS(GL_Actuals!$F:$F,GL_Actuals!$E:$E,Summary!$B10,GL_Actuals!$A:$A,"&lt;="&amp;$B$1)</f>
        <v>25059918.740000002</v>
      </c>
      <c r="K10" s="32">
        <f t="shared" si="2"/>
        <v>367236.16999999061</v>
      </c>
      <c r="L10" s="16">
        <f t="shared" ref="L10:L14" si="5">K10/I10</f>
        <v>1.4872267075840453E-2</v>
      </c>
      <c r="M10" s="6" t="str">
        <f t="shared" ref="M10:M12" si="6">IF(K10&lt;=0,"F","U")</f>
        <v>U</v>
      </c>
    </row>
    <row r="11" spans="1:13" x14ac:dyDescent="0.25">
      <c r="B11" t="s">
        <v>47</v>
      </c>
      <c r="C11" s="32">
        <f>SUMIFS(Budget!$F:$F,Budget!$E:$E,Summary!$B11,Budget!$A:$A,Summary!$B$1)</f>
        <v>3089527.71</v>
      </c>
      <c r="D11" s="32">
        <f>SUMIFS(GL_Actuals!$F:$F,GL_Actuals!$E:$E,Summary!$B11,GL_Actuals!$A:$A,Summary!$B$1)</f>
        <v>2949587.23</v>
      </c>
      <c r="E11" s="32">
        <f t="shared" si="0"/>
        <v>-139940.47999999998</v>
      </c>
      <c r="F11" s="16">
        <f t="shared" si="1"/>
        <v>-4.5295104344605465E-2</v>
      </c>
      <c r="G11" s="6" t="str">
        <f t="shared" si="4"/>
        <v>F</v>
      </c>
      <c r="I11" s="32">
        <f>SUMIFS(Budget!$F:$F,Budget!$E:$E,Summary!$B11,Budget!$A:$A,"&lt;="&amp;$B$1)</f>
        <v>26446148.979999997</v>
      </c>
      <c r="J11" s="32">
        <f>SUMIFS(GL_Actuals!$F:$F,GL_Actuals!$E:$E,Summary!$B11,GL_Actuals!$A:$A,"&lt;="&amp;$B$1)</f>
        <v>25092400.150000002</v>
      </c>
      <c r="K11" s="32">
        <f t="shared" si="2"/>
        <v>-1353748.8299999945</v>
      </c>
      <c r="L11" s="16">
        <f t="shared" si="5"/>
        <v>-5.1188883153602906E-2</v>
      </c>
      <c r="M11" s="6" t="str">
        <f t="shared" si="6"/>
        <v>F</v>
      </c>
    </row>
    <row r="12" spans="1:13" x14ac:dyDescent="0.25">
      <c r="B12" s="13" t="s">
        <v>49</v>
      </c>
      <c r="C12" s="33">
        <f>SUMIFS(Budget!$F:$F,Budget!$E:$E,Summary!$B12,Budget!$A:$A,Summary!$B$1)</f>
        <v>1157665.6200000001</v>
      </c>
      <c r="D12" s="33">
        <f>SUMIFS(GL_Actuals!$F:$F,GL_Actuals!$E:$E,Summary!$B12,GL_Actuals!$A:$A,Summary!$B$1)</f>
        <v>1323057.67</v>
      </c>
      <c r="E12" s="33">
        <f t="shared" si="0"/>
        <v>165392.04999999981</v>
      </c>
      <c r="F12" s="18">
        <f t="shared" si="1"/>
        <v>0.14286685822111553</v>
      </c>
      <c r="G12" s="15" t="str">
        <f t="shared" si="4"/>
        <v>U</v>
      </c>
      <c r="I12" s="33">
        <f>SUMIFS(Budget!$F:$F,Budget!$E:$E,Summary!$B12,Budget!$A:$A,"&lt;="&amp;$B$1)</f>
        <v>10436768.09</v>
      </c>
      <c r="J12" s="33">
        <f>SUMIFS(GL_Actuals!$F:$F,GL_Actuals!$E:$E,Summary!$B12,GL_Actuals!$A:$A,"&lt;="&amp;$B$1)</f>
        <v>10562065.439999999</v>
      </c>
      <c r="K12" s="33">
        <f t="shared" si="2"/>
        <v>125297.34999999963</v>
      </c>
      <c r="L12" s="18">
        <f t="shared" si="5"/>
        <v>1.2005378381460197E-2</v>
      </c>
      <c r="M12" s="15" t="str">
        <f t="shared" si="6"/>
        <v>U</v>
      </c>
    </row>
    <row r="13" spans="1:13" x14ac:dyDescent="0.25">
      <c r="B13" s="12" t="s">
        <v>1444</v>
      </c>
      <c r="C13" s="32">
        <f>SUM(C10:C12)</f>
        <v>7268530.8700000001</v>
      </c>
      <c r="D13" s="32">
        <f>SUM(D10:D12)</f>
        <v>7823964.0800000001</v>
      </c>
      <c r="E13" s="32">
        <f t="shared" si="0"/>
        <v>555433.21</v>
      </c>
      <c r="F13" s="16">
        <f t="shared" si="1"/>
        <v>7.6416158909427587E-2</v>
      </c>
      <c r="G13" s="6" t="str">
        <f>IF(E13&lt;=0,"F","U")</f>
        <v>U</v>
      </c>
      <c r="I13" s="32">
        <f>SUM(I10:I12)</f>
        <v>61575599.640000015</v>
      </c>
      <c r="J13" s="32">
        <f>SUM(J10:J12)</f>
        <v>60714384.329999998</v>
      </c>
      <c r="K13" s="32">
        <f t="shared" si="2"/>
        <v>-861215.31000001729</v>
      </c>
      <c r="L13" s="16">
        <f t="shared" si="5"/>
        <v>-1.3986308132362299E-2</v>
      </c>
      <c r="M13" s="6" t="str">
        <f>IF(K13&lt;=0,"F","U")</f>
        <v>F</v>
      </c>
    </row>
    <row r="14" spans="1:13" x14ac:dyDescent="0.25">
      <c r="B14" t="s">
        <v>1445</v>
      </c>
      <c r="C14" s="32">
        <f>C8-C13</f>
        <v>1628994.7000000002</v>
      </c>
      <c r="D14" s="32">
        <f>D8-D13</f>
        <v>618291.22000000067</v>
      </c>
      <c r="E14" s="32">
        <f t="shared" si="0"/>
        <v>-1010703.4799999995</v>
      </c>
      <c r="F14" s="16">
        <f t="shared" si="1"/>
        <v>-0.6204461438702038</v>
      </c>
      <c r="G14" s="6" t="str">
        <f>IF(E14&gt;=0,"F","U")</f>
        <v>U</v>
      </c>
      <c r="I14" s="32">
        <f>I8-I13</f>
        <v>13851375.749999985</v>
      </c>
      <c r="J14" s="32">
        <f>J8-J13</f>
        <v>13889737.219999999</v>
      </c>
      <c r="K14" s="32">
        <f t="shared" si="2"/>
        <v>38361.470000013709</v>
      </c>
      <c r="L14" s="16">
        <f t="shared" si="5"/>
        <v>2.769506126495323E-3</v>
      </c>
      <c r="M14" s="6" t="str">
        <f>IF(K14&gt;=0,"F","U")</f>
        <v>F</v>
      </c>
    </row>
    <row r="15" spans="1:13" x14ac:dyDescent="0.25">
      <c r="B15" t="s">
        <v>1446</v>
      </c>
      <c r="C15" s="11">
        <f>C14/C6</f>
        <v>0.14976204397814885</v>
      </c>
      <c r="D15" s="11">
        <f>D14/D6</f>
        <v>5.8467899900698068E-2</v>
      </c>
      <c r="E15" s="14">
        <f t="shared" si="0"/>
        <v>-9.129414407745079E-2</v>
      </c>
      <c r="F15" s="16" t="s">
        <v>1447</v>
      </c>
      <c r="G15" s="6" t="str">
        <f>IF(E15&gt;=0,"F","U")</f>
        <v>U</v>
      </c>
      <c r="I15" s="11">
        <f>I14/I6</f>
        <v>0.14986549960627682</v>
      </c>
      <c r="J15" s="11">
        <f>J14/J6</f>
        <v>0.15096583553009499</v>
      </c>
      <c r="K15" s="14">
        <f t="shared" si="2"/>
        <v>1.1003359238181687E-3</v>
      </c>
      <c r="L15" s="16" t="s">
        <v>1447</v>
      </c>
      <c r="M15" s="6" t="str">
        <f>IF(K15&gt;=0,"F","U")</f>
        <v>F</v>
      </c>
    </row>
    <row r="17" spans="2:11" x14ac:dyDescent="0.25">
      <c r="B17" s="12" t="s">
        <v>1448</v>
      </c>
      <c r="C17" s="19">
        <f>SUMIFS(GL_Actuals!$F:$F,GL_Actuals!$A:$A,Summary!$B$1)-(Summary!D6+Summary!D7+Summary!D13)</f>
        <v>0</v>
      </c>
      <c r="I17" s="10"/>
      <c r="J17" s="10"/>
      <c r="K17" s="10"/>
    </row>
    <row r="19" spans="2:11" x14ac:dyDescent="0.25">
      <c r="B19" s="12" t="s">
        <v>1478</v>
      </c>
    </row>
    <row r="20" spans="2:11" x14ac:dyDescent="0.25">
      <c r="B20" t="s">
        <v>1479</v>
      </c>
    </row>
  </sheetData>
  <pageMargins left="0.7" right="0.7" top="0.75" bottom="0.75" header="0.3" footer="0.3"/>
  <pageSetup orientation="portrait" r:id="rId1"/>
  <ignoredErrors>
    <ignoredError sqref="G7 M7" 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B158F-5745-44DA-B080-9CC095256159}">
  <sheetPr filterMode="1"/>
  <dimension ref="A1:I61"/>
  <sheetViews>
    <sheetView tabSelected="1" topLeftCell="A41" zoomScale="77" zoomScaleNormal="77" workbookViewId="0">
      <selection activeCell="A61" sqref="A61:E61"/>
    </sheetView>
  </sheetViews>
  <sheetFormatPr defaultColWidth="15.7109375" defaultRowHeight="15" x14ac:dyDescent="0.25"/>
  <cols>
    <col min="1" max="1" width="31.42578125" customWidth="1"/>
    <col min="2" max="2" width="16" customWidth="1"/>
    <col min="3" max="3" width="32.5703125" customWidth="1"/>
    <col min="5" max="5" width="40.85546875" customWidth="1"/>
  </cols>
  <sheetData>
    <row r="1" spans="1:9" x14ac:dyDescent="0.25">
      <c r="A1" s="20" t="s">
        <v>25</v>
      </c>
      <c r="B1" s="20" t="s">
        <v>26</v>
      </c>
      <c r="C1" s="20" t="s">
        <v>27</v>
      </c>
      <c r="D1" s="22" t="s">
        <v>1434</v>
      </c>
      <c r="E1" s="22" t="s">
        <v>1435</v>
      </c>
      <c r="F1" s="22" t="s">
        <v>1436</v>
      </c>
      <c r="G1" s="22" t="s">
        <v>1437</v>
      </c>
      <c r="H1" s="22" t="s">
        <v>1438</v>
      </c>
      <c r="I1" s="22" t="s">
        <v>1449</v>
      </c>
    </row>
    <row r="2" spans="1:9" hidden="1" x14ac:dyDescent="0.25">
      <c r="A2" s="21" t="s">
        <v>31</v>
      </c>
      <c r="B2" s="21">
        <v>4000</v>
      </c>
      <c r="C2" s="21" t="s">
        <v>32</v>
      </c>
      <c r="D2" s="23">
        <f>SUMIFS(Budget!$F:$F,Budget!$A:$A,Summary!$B$1,Budget!$B:$B,Dept_Detail!$A2,Budget!$D:$D,Dept_Detail!$C2)</f>
        <v>10087220</v>
      </c>
      <c r="E2" s="23">
        <f>SUMIFS(GL_Actuals!$F:$F,GL_Actuals!$A:$A,Summary!$B$1,GL_Actuals!$B:$B,$A2,GL_Actuals!$D:$D,Dept_Detail!$C2)</f>
        <v>10013483.33</v>
      </c>
      <c r="F2" s="24">
        <f>E2-D2</f>
        <v>-73736.669999999925</v>
      </c>
      <c r="G2" s="17">
        <f>IFERROR(F2/D2,0)</f>
        <v>-7.3099099652827963E-3</v>
      </c>
      <c r="H2" s="6" t="str">
        <f>IF($A2="Revenue", IF(F2&gt;=0,"F","U"),IF(F2&lt;=0,"F","U"))</f>
        <v>U</v>
      </c>
      <c r="I2" s="6" t="b">
        <f>AND(ABS(F2)&gt;50000, ABS(G2)&gt;0.1)</f>
        <v>0</v>
      </c>
    </row>
    <row r="3" spans="1:9" x14ac:dyDescent="0.25">
      <c r="A3" s="21" t="s">
        <v>31</v>
      </c>
      <c r="B3" s="21">
        <v>4100</v>
      </c>
      <c r="C3" s="21" t="s">
        <v>33</v>
      </c>
      <c r="D3" s="34">
        <f>SUMIFS(Budget!$F:$F,Budget!$A:$A,Summary!$B$1,Budget!$B:$B,Dept_Detail!$A3,Budget!$D:$D,Dept_Detail!$C3)</f>
        <v>790000</v>
      </c>
      <c r="E3" s="34">
        <f>SUMIFS(GL_Actuals!$F:$F,GL_Actuals!$A:$A,Summary!$B$1,GL_Actuals!$B:$B,$A3,GL_Actuals!$D:$D,Dept_Detail!$C3)</f>
        <v>561400</v>
      </c>
      <c r="F3" s="34">
        <f t="shared" ref="F3:F49" si="0">E3-D3</f>
        <v>-228600</v>
      </c>
      <c r="G3" s="17">
        <f t="shared" ref="G3:G49" si="1">IFERROR(F3/D3,0)</f>
        <v>-0.28936708860759491</v>
      </c>
      <c r="H3" s="6" t="str">
        <f t="shared" ref="H3:H49" si="2">IF($A3="Revenue", IF(F3&gt;=0,"F","U"),IF(F3&lt;=0,"F","U"))</f>
        <v>U</v>
      </c>
      <c r="I3" s="6" t="b">
        <f t="shared" ref="I3:I49" si="3">AND(ABS(F3)&gt;50000, ABS(G3)&gt;0.1)</f>
        <v>1</v>
      </c>
    </row>
    <row r="4" spans="1:9" x14ac:dyDescent="0.25">
      <c r="A4" s="21" t="s">
        <v>34</v>
      </c>
      <c r="B4" s="21">
        <v>5000</v>
      </c>
      <c r="C4" s="21" t="s">
        <v>35</v>
      </c>
      <c r="D4" s="34">
        <f>SUMIFS(Budget!$F:$F,Budget!$A:$A,Summary!$B$1,Budget!$B:$B,Dept_Detail!$A4,Budget!$D:$D,Dept_Detail!$C4)</f>
        <v>958285.9</v>
      </c>
      <c r="E4" s="34">
        <f>SUMIFS(GL_Actuals!$F:$F,GL_Actuals!$A:$A,Summary!$B$1,GL_Actuals!$B:$B,$A4,GL_Actuals!$D:$D,Dept_Detail!$C4)</f>
        <v>1123443.05</v>
      </c>
      <c r="F4" s="34">
        <f t="shared" si="0"/>
        <v>165157.15000000002</v>
      </c>
      <c r="G4" s="17">
        <f t="shared" si="1"/>
        <v>0.17234642605093117</v>
      </c>
      <c r="H4" s="6" t="str">
        <f t="shared" si="2"/>
        <v>U</v>
      </c>
      <c r="I4" s="6" t="b">
        <f t="shared" si="3"/>
        <v>1</v>
      </c>
    </row>
    <row r="5" spans="1:9" hidden="1" x14ac:dyDescent="0.25">
      <c r="A5" s="21" t="s">
        <v>34</v>
      </c>
      <c r="B5" s="21">
        <v>5300</v>
      </c>
      <c r="C5" s="21" t="s">
        <v>36</v>
      </c>
      <c r="D5" s="23">
        <f>SUMIFS(Budget!$F:$F,Budget!$A:$A,Summary!$B$1,Budget!$B:$B,Dept_Detail!$A5,Budget!$D:$D,Dept_Detail!$C5)</f>
        <v>183000</v>
      </c>
      <c r="E5" s="23">
        <f>SUMIFS(GL_Actuals!$F:$F,GL_Actuals!$A:$A,Summary!$B$1,GL_Actuals!$B:$B,$A5,GL_Actuals!$D:$D,Dept_Detail!$C5)</f>
        <v>182464.7</v>
      </c>
      <c r="F5" s="24">
        <f t="shared" si="0"/>
        <v>-535.29999999998836</v>
      </c>
      <c r="G5" s="17">
        <f t="shared" si="1"/>
        <v>-2.9251366120217944E-3</v>
      </c>
      <c r="H5" s="6" t="str">
        <f t="shared" si="2"/>
        <v>F</v>
      </c>
      <c r="I5" s="6" t="b">
        <f t="shared" si="3"/>
        <v>0</v>
      </c>
    </row>
    <row r="6" spans="1:9" hidden="1" x14ac:dyDescent="0.25">
      <c r="A6" s="21" t="s">
        <v>37</v>
      </c>
      <c r="B6" s="21">
        <v>6000</v>
      </c>
      <c r="C6" s="21" t="s">
        <v>38</v>
      </c>
      <c r="D6" s="23">
        <f>SUMIFS(Budget!$F:$F,Budget!$A:$A,Summary!$B$1,Budget!$B:$B,Dept_Detail!$A6,Budget!$D:$D,Dept_Detail!$C6)</f>
        <v>897166.67</v>
      </c>
      <c r="E6" s="23">
        <f>SUMIFS(GL_Actuals!$F:$F,GL_Actuals!$A:$A,Summary!$B$1,GL_Actuals!$B:$B,$A6,GL_Actuals!$D:$D,Dept_Detail!$C6)</f>
        <v>872872.36</v>
      </c>
      <c r="F6" s="24">
        <f t="shared" si="0"/>
        <v>-24294.310000000056</v>
      </c>
      <c r="G6" s="17">
        <f t="shared" si="1"/>
        <v>-2.7078926148694372E-2</v>
      </c>
      <c r="H6" s="6" t="str">
        <f t="shared" si="2"/>
        <v>F</v>
      </c>
      <c r="I6" s="6" t="b">
        <f t="shared" si="3"/>
        <v>0</v>
      </c>
    </row>
    <row r="7" spans="1:9" hidden="1" x14ac:dyDescent="0.25">
      <c r="A7" s="21" t="s">
        <v>37</v>
      </c>
      <c r="B7" s="21">
        <v>6010</v>
      </c>
      <c r="C7" s="21" t="s">
        <v>40</v>
      </c>
      <c r="D7" s="23">
        <f>SUMIFS(Budget!$F:$F,Budget!$A:$A,Summary!$B$1,Budget!$B:$B,Dept_Detail!$A7,Budget!$D:$D,Dept_Detail!$C7)</f>
        <v>183919.17</v>
      </c>
      <c r="E7" s="23">
        <f>SUMIFS(GL_Actuals!$F:$F,GL_Actuals!$A:$A,Summary!$B$1,GL_Actuals!$B:$B,$A7,GL_Actuals!$D:$D,Dept_Detail!$C7)</f>
        <v>177461.53</v>
      </c>
      <c r="F7" s="24">
        <f t="shared" si="0"/>
        <v>-6457.640000000014</v>
      </c>
      <c r="G7" s="17">
        <f t="shared" si="1"/>
        <v>-3.5111293727565288E-2</v>
      </c>
      <c r="H7" s="6" t="str">
        <f t="shared" si="2"/>
        <v>F</v>
      </c>
      <c r="I7" s="6" t="b">
        <f t="shared" si="3"/>
        <v>0</v>
      </c>
    </row>
    <row r="8" spans="1:9" hidden="1" x14ac:dyDescent="0.25">
      <c r="A8" s="21" t="s">
        <v>37</v>
      </c>
      <c r="B8" s="21">
        <v>6200</v>
      </c>
      <c r="C8" s="21" t="s">
        <v>41</v>
      </c>
      <c r="D8" s="23">
        <f>SUMIFS(Budget!$F:$F,Budget!$A:$A,Summary!$B$1,Budget!$B:$B,Dept_Detail!$A8,Budget!$D:$D,Dept_Detail!$C8)</f>
        <v>27820</v>
      </c>
      <c r="E8" s="23">
        <f>SUMIFS(GL_Actuals!$F:$F,GL_Actuals!$A:$A,Summary!$B$1,GL_Actuals!$B:$B,$A8,GL_Actuals!$D:$D,Dept_Detail!$C8)</f>
        <v>25514.69</v>
      </c>
      <c r="F8" s="24">
        <f t="shared" si="0"/>
        <v>-2305.3100000000013</v>
      </c>
      <c r="G8" s="17">
        <f t="shared" si="1"/>
        <v>-8.2865204888569424E-2</v>
      </c>
      <c r="H8" s="6" t="str">
        <f t="shared" si="2"/>
        <v>F</v>
      </c>
      <c r="I8" s="6" t="b">
        <f t="shared" si="3"/>
        <v>0</v>
      </c>
    </row>
    <row r="9" spans="1:9" hidden="1" x14ac:dyDescent="0.25">
      <c r="A9" s="21" t="s">
        <v>37</v>
      </c>
      <c r="B9" s="21">
        <v>6300</v>
      </c>
      <c r="C9" s="21" t="s">
        <v>42</v>
      </c>
      <c r="D9" s="23">
        <f>SUMIFS(Budget!$F:$F,Budget!$A:$A,Summary!$B$1,Budget!$B:$B,Dept_Detail!$A9,Budget!$D:$D,Dept_Detail!$C9)</f>
        <v>66340</v>
      </c>
      <c r="E9" s="23">
        <f>SUMIFS(GL_Actuals!$F:$F,GL_Actuals!$A:$A,Summary!$B$1,GL_Actuals!$B:$B,$A9,GL_Actuals!$D:$D,Dept_Detail!$C9)</f>
        <v>60428.58</v>
      </c>
      <c r="F9" s="24">
        <f t="shared" si="0"/>
        <v>-5911.4199999999983</v>
      </c>
      <c r="G9" s="17">
        <f t="shared" si="1"/>
        <v>-8.9107928851371698E-2</v>
      </c>
      <c r="H9" s="6" t="str">
        <f t="shared" si="2"/>
        <v>F</v>
      </c>
      <c r="I9" s="6" t="b">
        <f t="shared" si="3"/>
        <v>0</v>
      </c>
    </row>
    <row r="10" spans="1:9" hidden="1" x14ac:dyDescent="0.25">
      <c r="A10" s="21" t="s">
        <v>37</v>
      </c>
      <c r="B10" s="21">
        <v>6800</v>
      </c>
      <c r="C10" s="21" t="s">
        <v>43</v>
      </c>
      <c r="D10" s="23">
        <f>SUMIFS(Budget!$F:$F,Budget!$A:$A,Summary!$B$1,Budget!$B:$B,Dept_Detail!$A10,Budget!$D:$D,Dept_Detail!$C10)</f>
        <v>17500</v>
      </c>
      <c r="E10" s="23">
        <f>SUMIFS(GL_Actuals!$F:$F,GL_Actuals!$A:$A,Summary!$B$1,GL_Actuals!$B:$B,$A10,GL_Actuals!$D:$D,Dept_Detail!$C10)</f>
        <v>8323.2800000000007</v>
      </c>
      <c r="F10" s="24">
        <f t="shared" si="0"/>
        <v>-9176.7199999999993</v>
      </c>
      <c r="G10" s="17">
        <f t="shared" si="1"/>
        <v>-0.52438399999999996</v>
      </c>
      <c r="H10" s="6" t="str">
        <f t="shared" si="2"/>
        <v>F</v>
      </c>
      <c r="I10" s="6" t="b">
        <f t="shared" si="3"/>
        <v>0</v>
      </c>
    </row>
    <row r="11" spans="1:9" hidden="1" x14ac:dyDescent="0.25">
      <c r="A11" s="21" t="s">
        <v>44</v>
      </c>
      <c r="B11" s="21">
        <v>6000</v>
      </c>
      <c r="C11" s="21" t="s">
        <v>38</v>
      </c>
      <c r="D11" s="23">
        <f>SUMIFS(Budget!$F:$F,Budget!$A:$A,Summary!$B$1,Budget!$B:$B,Dept_Detail!$A11,Budget!$D:$D,Dept_Detail!$C11)</f>
        <v>307333.33</v>
      </c>
      <c r="E11" s="23">
        <f>SUMIFS(GL_Actuals!$F:$F,GL_Actuals!$A:$A,Summary!$B$1,GL_Actuals!$B:$B,$A11,GL_Actuals!$D:$D,Dept_Detail!$C11)</f>
        <v>298785.36</v>
      </c>
      <c r="F11" s="24">
        <f t="shared" si="0"/>
        <v>-8547.9700000000303</v>
      </c>
      <c r="G11" s="17">
        <f t="shared" si="1"/>
        <v>-2.7813351711641655E-2</v>
      </c>
      <c r="H11" s="6" t="str">
        <f t="shared" si="2"/>
        <v>F</v>
      </c>
      <c r="I11" s="6" t="b">
        <f t="shared" si="3"/>
        <v>0</v>
      </c>
    </row>
    <row r="12" spans="1:9" hidden="1" x14ac:dyDescent="0.25">
      <c r="A12" s="21" t="s">
        <v>44</v>
      </c>
      <c r="B12" s="21">
        <v>6010</v>
      </c>
      <c r="C12" s="21" t="s">
        <v>40</v>
      </c>
      <c r="D12" s="23">
        <f>SUMIFS(Budget!$F:$F,Budget!$A:$A,Summary!$B$1,Budget!$B:$B,Dept_Detail!$A12,Budget!$D:$D,Dept_Detail!$C12)</f>
        <v>63003.33</v>
      </c>
      <c r="E12" s="23">
        <f>SUMIFS(GL_Actuals!$F:$F,GL_Actuals!$A:$A,Summary!$B$1,GL_Actuals!$B:$B,$A12,GL_Actuals!$D:$D,Dept_Detail!$C12)</f>
        <v>60672.33</v>
      </c>
      <c r="F12" s="24">
        <f t="shared" si="0"/>
        <v>-2331</v>
      </c>
      <c r="G12" s="17">
        <f t="shared" si="1"/>
        <v>-3.6998044389082288E-2</v>
      </c>
      <c r="H12" s="6" t="str">
        <f t="shared" si="2"/>
        <v>F</v>
      </c>
      <c r="I12" s="6" t="b">
        <f t="shared" si="3"/>
        <v>0</v>
      </c>
    </row>
    <row r="13" spans="1:9" hidden="1" x14ac:dyDescent="0.25">
      <c r="A13" s="21" t="s">
        <v>44</v>
      </c>
      <c r="B13" s="21">
        <v>6200</v>
      </c>
      <c r="C13" s="21" t="s">
        <v>41</v>
      </c>
      <c r="D13" s="23">
        <f>SUMIFS(Budget!$F:$F,Budget!$A:$A,Summary!$B$1,Budget!$B:$B,Dept_Detail!$A13,Budget!$D:$D,Dept_Detail!$C13)</f>
        <v>8320</v>
      </c>
      <c r="E13" s="23">
        <f>SUMIFS(GL_Actuals!$F:$F,GL_Actuals!$A:$A,Summary!$B$1,GL_Actuals!$B:$B,$A13,GL_Actuals!$D:$D,Dept_Detail!$C13)</f>
        <v>9208.1200000000008</v>
      </c>
      <c r="F13" s="24">
        <f t="shared" si="0"/>
        <v>888.1200000000008</v>
      </c>
      <c r="G13" s="17">
        <f t="shared" si="1"/>
        <v>0.1067451923076924</v>
      </c>
      <c r="H13" s="6" t="str">
        <f t="shared" si="2"/>
        <v>U</v>
      </c>
      <c r="I13" s="6" t="b">
        <f t="shared" si="3"/>
        <v>0</v>
      </c>
    </row>
    <row r="14" spans="1:9" hidden="1" x14ac:dyDescent="0.25">
      <c r="A14" s="21" t="s">
        <v>44</v>
      </c>
      <c r="B14" s="21">
        <v>6300</v>
      </c>
      <c r="C14" s="21" t="s">
        <v>42</v>
      </c>
      <c r="D14" s="23">
        <f>SUMIFS(Budget!$F:$F,Budget!$A:$A,Summary!$B$1,Budget!$B:$B,Dept_Detail!$A14,Budget!$D:$D,Dept_Detail!$C14)</f>
        <v>9600</v>
      </c>
      <c r="E14" s="23">
        <f>SUMIFS(GL_Actuals!$F:$F,GL_Actuals!$A:$A,Summary!$B$1,GL_Actuals!$B:$B,$A14,GL_Actuals!$D:$D,Dept_Detail!$C14)</f>
        <v>8748.82</v>
      </c>
      <c r="F14" s="24">
        <f t="shared" si="0"/>
        <v>-851.18000000000029</v>
      </c>
      <c r="G14" s="17">
        <f t="shared" si="1"/>
        <v>-8.8664583333333366E-2</v>
      </c>
      <c r="H14" s="6" t="str">
        <f t="shared" si="2"/>
        <v>F</v>
      </c>
      <c r="I14" s="6" t="b">
        <f t="shared" si="3"/>
        <v>0</v>
      </c>
    </row>
    <row r="15" spans="1:9" hidden="1" x14ac:dyDescent="0.25">
      <c r="A15" s="21" t="s">
        <v>44</v>
      </c>
      <c r="B15" s="21">
        <v>6800</v>
      </c>
      <c r="C15" s="21" t="s">
        <v>43</v>
      </c>
      <c r="D15" s="23">
        <f>SUMIFS(Budget!$F:$F,Budget!$A:$A,Summary!$B$1,Budget!$B:$B,Dept_Detail!$A15,Budget!$D:$D,Dept_Detail!$C15)</f>
        <v>8500</v>
      </c>
      <c r="E15" s="23">
        <f>SUMIFS(GL_Actuals!$F:$F,GL_Actuals!$A:$A,Summary!$B$1,GL_Actuals!$B:$B,$A15,GL_Actuals!$D:$D,Dept_Detail!$C15)</f>
        <v>8797.3700000000008</v>
      </c>
      <c r="F15" s="24">
        <f t="shared" si="0"/>
        <v>297.3700000000008</v>
      </c>
      <c r="G15" s="17">
        <f t="shared" si="1"/>
        <v>3.4984705882353036E-2</v>
      </c>
      <c r="H15" s="6" t="str">
        <f t="shared" si="2"/>
        <v>U</v>
      </c>
      <c r="I15" s="6" t="b">
        <f t="shared" si="3"/>
        <v>0</v>
      </c>
    </row>
    <row r="16" spans="1:9" hidden="1" x14ac:dyDescent="0.25">
      <c r="A16" s="21" t="s">
        <v>45</v>
      </c>
      <c r="B16" s="21">
        <v>6000</v>
      </c>
      <c r="C16" s="21" t="s">
        <v>38</v>
      </c>
      <c r="D16" s="23">
        <f>SUMIFS(Budget!$F:$F,Budget!$A:$A,Summary!$B$1,Budget!$B:$B,Dept_Detail!$A16,Budget!$D:$D,Dept_Detail!$C16)</f>
        <v>319166.67</v>
      </c>
      <c r="E16" s="23">
        <f>SUMIFS(GL_Actuals!$F:$F,GL_Actuals!$A:$A,Summary!$B$1,GL_Actuals!$B:$B,$A16,GL_Actuals!$D:$D,Dept_Detail!$C16)</f>
        <v>308467.12</v>
      </c>
      <c r="F16" s="24">
        <f t="shared" si="0"/>
        <v>-10699.549999999988</v>
      </c>
      <c r="G16" s="17">
        <f t="shared" si="1"/>
        <v>-3.3523393905760868E-2</v>
      </c>
      <c r="H16" s="6" t="str">
        <f t="shared" si="2"/>
        <v>F</v>
      </c>
      <c r="I16" s="6" t="b">
        <f t="shared" si="3"/>
        <v>0</v>
      </c>
    </row>
    <row r="17" spans="1:9" hidden="1" x14ac:dyDescent="0.25">
      <c r="A17" s="21" t="s">
        <v>45</v>
      </c>
      <c r="B17" s="21">
        <v>6010</v>
      </c>
      <c r="C17" s="21" t="s">
        <v>40</v>
      </c>
      <c r="D17" s="23">
        <f>SUMIFS(Budget!$F:$F,Budget!$A:$A,Summary!$B$1,Budget!$B:$B,Dept_Detail!$A17,Budget!$D:$D,Dept_Detail!$C17)</f>
        <v>65429.17</v>
      </c>
      <c r="E17" s="23">
        <f>SUMIFS(GL_Actuals!$F:$F,GL_Actuals!$A:$A,Summary!$B$1,GL_Actuals!$B:$B,$A17,GL_Actuals!$D:$D,Dept_Detail!$C17)</f>
        <v>61910.69</v>
      </c>
      <c r="F17" s="24">
        <f t="shared" si="0"/>
        <v>-3518.4799999999959</v>
      </c>
      <c r="G17" s="17">
        <f t="shared" si="1"/>
        <v>-5.3775403233756382E-2</v>
      </c>
      <c r="H17" s="6" t="str">
        <f t="shared" si="2"/>
        <v>F</v>
      </c>
      <c r="I17" s="6" t="b">
        <f t="shared" si="3"/>
        <v>0</v>
      </c>
    </row>
    <row r="18" spans="1:9" hidden="1" x14ac:dyDescent="0.25">
      <c r="A18" s="21" t="s">
        <v>45</v>
      </c>
      <c r="B18" s="21">
        <v>6200</v>
      </c>
      <c r="C18" s="21" t="s">
        <v>41</v>
      </c>
      <c r="D18" s="23">
        <f>SUMIFS(Budget!$F:$F,Budget!$A:$A,Summary!$B$1,Budget!$B:$B,Dept_Detail!$A18,Budget!$D:$D,Dept_Detail!$C18)</f>
        <v>10660</v>
      </c>
      <c r="E18" s="23">
        <f>SUMIFS(GL_Actuals!$F:$F,GL_Actuals!$A:$A,Summary!$B$1,GL_Actuals!$B:$B,$A18,GL_Actuals!$D:$D,Dept_Detail!$C18)</f>
        <v>9955.7000000000007</v>
      </c>
      <c r="F18" s="24">
        <f t="shared" si="0"/>
        <v>-704.29999999999927</v>
      </c>
      <c r="G18" s="17">
        <f t="shared" si="1"/>
        <v>-6.6069418386491482E-2</v>
      </c>
      <c r="H18" s="6" t="str">
        <f t="shared" si="2"/>
        <v>F</v>
      </c>
      <c r="I18" s="6" t="b">
        <f t="shared" si="3"/>
        <v>0</v>
      </c>
    </row>
    <row r="19" spans="1:9" hidden="1" x14ac:dyDescent="0.25">
      <c r="A19" s="21" t="s">
        <v>45</v>
      </c>
      <c r="B19" s="21">
        <v>6300</v>
      </c>
      <c r="C19" s="21" t="s">
        <v>42</v>
      </c>
      <c r="D19" s="23">
        <f>SUMIFS(Budget!$F:$F,Budget!$A:$A,Summary!$B$1,Budget!$B:$B,Dept_Detail!$A19,Budget!$D:$D,Dept_Detail!$C19)</f>
        <v>10660</v>
      </c>
      <c r="E19" s="23">
        <f>SUMIFS(GL_Actuals!$F:$F,GL_Actuals!$A:$A,Summary!$B$1,GL_Actuals!$B:$B,$A19,GL_Actuals!$D:$D,Dept_Detail!$C19)</f>
        <v>9371.33</v>
      </c>
      <c r="F19" s="24">
        <f t="shared" si="0"/>
        <v>-1288.67</v>
      </c>
      <c r="G19" s="17">
        <f t="shared" si="1"/>
        <v>-0.12088836772983115</v>
      </c>
      <c r="H19" s="6" t="str">
        <f t="shared" si="2"/>
        <v>F</v>
      </c>
      <c r="I19" s="6" t="b">
        <f t="shared" si="3"/>
        <v>0</v>
      </c>
    </row>
    <row r="20" spans="1:9" hidden="1" x14ac:dyDescent="0.25">
      <c r="A20" s="21" t="s">
        <v>45</v>
      </c>
      <c r="B20" s="21">
        <v>6800</v>
      </c>
      <c r="C20" s="21" t="s">
        <v>43</v>
      </c>
      <c r="D20" s="23">
        <f>SUMIFS(Budget!$F:$F,Budget!$A:$A,Summary!$B$1,Budget!$B:$B,Dept_Detail!$A20,Budget!$D:$D,Dept_Detail!$C20)</f>
        <v>8500</v>
      </c>
      <c r="E20" s="23">
        <f>SUMIFS(GL_Actuals!$F:$F,GL_Actuals!$A:$A,Summary!$B$1,GL_Actuals!$B:$B,$A20,GL_Actuals!$D:$D,Dept_Detail!$C20)</f>
        <v>3863.81</v>
      </c>
      <c r="F20" s="24">
        <f t="shared" si="0"/>
        <v>-4636.1900000000005</v>
      </c>
      <c r="G20" s="17">
        <f t="shared" si="1"/>
        <v>-0.54543411764705885</v>
      </c>
      <c r="H20" s="6" t="str">
        <f t="shared" si="2"/>
        <v>F</v>
      </c>
      <c r="I20" s="6" t="b">
        <f t="shared" si="3"/>
        <v>0</v>
      </c>
    </row>
    <row r="21" spans="1:9" hidden="1" x14ac:dyDescent="0.25">
      <c r="A21" s="21" t="s">
        <v>46</v>
      </c>
      <c r="B21" s="21">
        <v>6000</v>
      </c>
      <c r="C21" s="21" t="s">
        <v>38</v>
      </c>
      <c r="D21" s="23">
        <f>SUMIFS(Budget!$F:$F,Budget!$A:$A,Summary!$B$1,Budget!$B:$B,Dept_Detail!$A21,Budget!$D:$D,Dept_Detail!$C21)</f>
        <v>2395541.67</v>
      </c>
      <c r="E21" s="23">
        <f>SUMIFS(GL_Actuals!$F:$F,GL_Actuals!$A:$A,Summary!$B$1,GL_Actuals!$B:$B,$A21,GL_Actuals!$D:$D,Dept_Detail!$C21)</f>
        <v>2206531.92</v>
      </c>
      <c r="F21" s="24">
        <f t="shared" si="0"/>
        <v>-189009.75</v>
      </c>
      <c r="G21" s="17">
        <f t="shared" si="1"/>
        <v>-7.8900631271423466E-2</v>
      </c>
      <c r="H21" s="6" t="str">
        <f t="shared" si="2"/>
        <v>F</v>
      </c>
      <c r="I21" s="6" t="b">
        <f t="shared" si="3"/>
        <v>0</v>
      </c>
    </row>
    <row r="22" spans="1:9" hidden="1" x14ac:dyDescent="0.25">
      <c r="A22" s="21" t="s">
        <v>46</v>
      </c>
      <c r="B22" s="21">
        <v>6010</v>
      </c>
      <c r="C22" s="21" t="s">
        <v>40</v>
      </c>
      <c r="D22" s="23">
        <f>SUMIFS(Budget!$F:$F,Budget!$A:$A,Summary!$B$1,Budget!$B:$B,Dept_Detail!$A22,Budget!$D:$D,Dept_Detail!$C22)</f>
        <v>491086.04</v>
      </c>
      <c r="E22" s="23">
        <f>SUMIFS(GL_Actuals!$F:$F,GL_Actuals!$A:$A,Summary!$B$1,GL_Actuals!$B:$B,$A22,GL_Actuals!$D:$D,Dept_Detail!$C22)</f>
        <v>453533.47</v>
      </c>
      <c r="F22" s="24">
        <f t="shared" si="0"/>
        <v>-37552.570000000007</v>
      </c>
      <c r="G22" s="17">
        <f t="shared" si="1"/>
        <v>-7.6468412744943856E-2</v>
      </c>
      <c r="H22" s="6" t="str">
        <f t="shared" si="2"/>
        <v>F</v>
      </c>
      <c r="I22" s="6" t="b">
        <f t="shared" si="3"/>
        <v>0</v>
      </c>
    </row>
    <row r="23" spans="1:9" hidden="1" x14ac:dyDescent="0.25">
      <c r="A23" s="21" t="s">
        <v>46</v>
      </c>
      <c r="B23" s="21">
        <v>6200</v>
      </c>
      <c r="C23" s="21" t="s">
        <v>41</v>
      </c>
      <c r="D23" s="23">
        <f>SUMIFS(Budget!$F:$F,Budget!$A:$A,Summary!$B$1,Budget!$B:$B,Dept_Detail!$A23,Budget!$D:$D,Dept_Detail!$C23)</f>
        <v>45240</v>
      </c>
      <c r="E23" s="23">
        <f>SUMIFS(GL_Actuals!$F:$F,GL_Actuals!$A:$A,Summary!$B$1,GL_Actuals!$B:$B,$A23,GL_Actuals!$D:$D,Dept_Detail!$C23)</f>
        <v>38521.83</v>
      </c>
      <c r="F23" s="24">
        <f t="shared" si="0"/>
        <v>-6718.1699999999983</v>
      </c>
      <c r="G23" s="17">
        <f t="shared" si="1"/>
        <v>-0.14850066312997343</v>
      </c>
      <c r="H23" s="6" t="str">
        <f t="shared" si="2"/>
        <v>F</v>
      </c>
      <c r="I23" s="6" t="b">
        <f t="shared" si="3"/>
        <v>0</v>
      </c>
    </row>
    <row r="24" spans="1:9" hidden="1" x14ac:dyDescent="0.25">
      <c r="A24" s="21" t="s">
        <v>46</v>
      </c>
      <c r="B24" s="21">
        <v>6300</v>
      </c>
      <c r="C24" s="21" t="s">
        <v>42</v>
      </c>
      <c r="D24" s="23">
        <f>SUMIFS(Budget!$F:$F,Budget!$A:$A,Summary!$B$1,Budget!$B:$B,Dept_Detail!$A24,Budget!$D:$D,Dept_Detail!$C24)</f>
        <v>15660</v>
      </c>
      <c r="E24" s="23">
        <f>SUMIFS(GL_Actuals!$F:$F,GL_Actuals!$A:$A,Summary!$B$1,GL_Actuals!$B:$B,$A24,GL_Actuals!$D:$D,Dept_Detail!$C24)</f>
        <v>14659.37</v>
      </c>
      <c r="F24" s="24">
        <f t="shared" si="0"/>
        <v>-1000.6299999999992</v>
      </c>
      <c r="G24" s="17">
        <f t="shared" si="1"/>
        <v>-6.3897190293741968E-2</v>
      </c>
      <c r="H24" s="6" t="str">
        <f t="shared" si="2"/>
        <v>F</v>
      </c>
      <c r="I24" s="6" t="b">
        <f t="shared" si="3"/>
        <v>0</v>
      </c>
    </row>
    <row r="25" spans="1:9" x14ac:dyDescent="0.25">
      <c r="A25" s="21" t="s">
        <v>46</v>
      </c>
      <c r="B25" s="21">
        <v>6800</v>
      </c>
      <c r="C25" s="21" t="s">
        <v>43</v>
      </c>
      <c r="D25" s="34">
        <f>SUMIFS(Budget!$F:$F,Budget!$A:$A,Summary!$B$1,Budget!$B:$B,Dept_Detail!$A25,Budget!$D:$D,Dept_Detail!$C25)</f>
        <v>22000</v>
      </c>
      <c r="E25" s="34">
        <f>SUMIFS(GL_Actuals!$F:$F,GL_Actuals!$A:$A,Summary!$B$1,GL_Actuals!$B:$B,$A25,GL_Actuals!$D:$D,Dept_Detail!$C25)</f>
        <v>80320.210000000006</v>
      </c>
      <c r="F25" s="34">
        <f t="shared" si="0"/>
        <v>58320.210000000006</v>
      </c>
      <c r="G25" s="17">
        <f t="shared" si="1"/>
        <v>2.6509186363636368</v>
      </c>
      <c r="H25" s="6" t="str">
        <f t="shared" si="2"/>
        <v>U</v>
      </c>
      <c r="I25" s="6" t="b">
        <f t="shared" si="3"/>
        <v>1</v>
      </c>
    </row>
    <row r="26" spans="1:9" hidden="1" x14ac:dyDescent="0.25">
      <c r="A26" s="21" t="s">
        <v>48</v>
      </c>
      <c r="B26" s="21">
        <v>6000</v>
      </c>
      <c r="C26" s="21" t="s">
        <v>38</v>
      </c>
      <c r="D26" s="23">
        <f>SUMIFS(Budget!$F:$F,Budget!$A:$A,Summary!$B$1,Budget!$B:$B,Dept_Detail!$A26,Budget!$D:$D,Dept_Detail!$C26)</f>
        <v>493125</v>
      </c>
      <c r="E26" s="23">
        <f>SUMIFS(GL_Actuals!$F:$F,GL_Actuals!$A:$A,Summary!$B$1,GL_Actuals!$B:$B,$A26,GL_Actuals!$D:$D,Dept_Detail!$C26)</f>
        <v>489007.15</v>
      </c>
      <c r="F26" s="24">
        <f t="shared" si="0"/>
        <v>-4117.8499999999767</v>
      </c>
      <c r="G26" s="17">
        <f t="shared" si="1"/>
        <v>-8.3505196451203589E-3</v>
      </c>
      <c r="H26" s="6" t="str">
        <f t="shared" si="2"/>
        <v>F</v>
      </c>
      <c r="I26" s="6" t="b">
        <f t="shared" si="3"/>
        <v>0</v>
      </c>
    </row>
    <row r="27" spans="1:9" hidden="1" x14ac:dyDescent="0.25">
      <c r="A27" s="21" t="s">
        <v>48</v>
      </c>
      <c r="B27" s="21">
        <v>6010</v>
      </c>
      <c r="C27" s="21" t="s">
        <v>40</v>
      </c>
      <c r="D27" s="23">
        <f>SUMIFS(Budget!$F:$F,Budget!$A:$A,Summary!$B$1,Budget!$B:$B,Dept_Detail!$A27,Budget!$D:$D,Dept_Detail!$C27)</f>
        <v>101090.62</v>
      </c>
      <c r="E27" s="23">
        <f>SUMIFS(GL_Actuals!$F:$F,GL_Actuals!$A:$A,Summary!$B$1,GL_Actuals!$B:$B,$A27,GL_Actuals!$D:$D,Dept_Detail!$C27)</f>
        <v>98915.7</v>
      </c>
      <c r="F27" s="24">
        <f t="shared" si="0"/>
        <v>-2174.9199999999983</v>
      </c>
      <c r="G27" s="17">
        <f t="shared" si="1"/>
        <v>-2.1514557928322117E-2</v>
      </c>
      <c r="H27" s="6" t="str">
        <f t="shared" si="2"/>
        <v>F</v>
      </c>
      <c r="I27" s="6" t="b">
        <f t="shared" si="3"/>
        <v>0</v>
      </c>
    </row>
    <row r="28" spans="1:9" hidden="1" x14ac:dyDescent="0.25">
      <c r="A28" s="21" t="s">
        <v>48</v>
      </c>
      <c r="B28" s="21">
        <v>6200</v>
      </c>
      <c r="C28" s="21" t="s">
        <v>41</v>
      </c>
      <c r="D28" s="23">
        <f>SUMIFS(Budget!$F:$F,Budget!$A:$A,Summary!$B$1,Budget!$B:$B,Dept_Detail!$A28,Budget!$D:$D,Dept_Detail!$C28)</f>
        <v>12220</v>
      </c>
      <c r="E28" s="23">
        <f>SUMIFS(GL_Actuals!$F:$F,GL_Actuals!$A:$A,Summary!$B$1,GL_Actuals!$B:$B,$A28,GL_Actuals!$D:$D,Dept_Detail!$C28)</f>
        <v>12090.71</v>
      </c>
      <c r="F28" s="24">
        <f t="shared" si="0"/>
        <v>-129.29000000000087</v>
      </c>
      <c r="G28" s="17">
        <f t="shared" si="1"/>
        <v>-1.0580196399345407E-2</v>
      </c>
      <c r="H28" s="6" t="str">
        <f t="shared" si="2"/>
        <v>F</v>
      </c>
      <c r="I28" s="6" t="b">
        <f t="shared" si="3"/>
        <v>0</v>
      </c>
    </row>
    <row r="29" spans="1:9" hidden="1" x14ac:dyDescent="0.25">
      <c r="A29" s="21" t="s">
        <v>48</v>
      </c>
      <c r="B29" s="21">
        <v>6300</v>
      </c>
      <c r="C29" s="21" t="s">
        <v>42</v>
      </c>
      <c r="D29" s="23">
        <f>SUMIFS(Budget!$F:$F,Budget!$A:$A,Summary!$B$1,Budget!$B:$B,Dept_Detail!$A29,Budget!$D:$D,Dept_Detail!$C29)</f>
        <v>4230</v>
      </c>
      <c r="E29" s="23">
        <f>SUMIFS(GL_Actuals!$F:$F,GL_Actuals!$A:$A,Summary!$B$1,GL_Actuals!$B:$B,$A29,GL_Actuals!$D:$D,Dept_Detail!$C29)</f>
        <v>4436.42</v>
      </c>
      <c r="F29" s="24">
        <f t="shared" si="0"/>
        <v>206.42000000000007</v>
      </c>
      <c r="G29" s="17">
        <f t="shared" si="1"/>
        <v>4.8799054373522478E-2</v>
      </c>
      <c r="H29" s="6" t="str">
        <f t="shared" si="2"/>
        <v>U</v>
      </c>
      <c r="I29" s="6" t="b">
        <f t="shared" si="3"/>
        <v>0</v>
      </c>
    </row>
    <row r="30" spans="1:9" hidden="1" x14ac:dyDescent="0.25">
      <c r="A30" s="21" t="s">
        <v>48</v>
      </c>
      <c r="B30" s="21">
        <v>6800</v>
      </c>
      <c r="C30" s="21" t="s">
        <v>43</v>
      </c>
      <c r="D30" s="23">
        <f>SUMIFS(Budget!$F:$F,Budget!$A:$A,Summary!$B$1,Budget!$B:$B,Dept_Detail!$A30,Budget!$D:$D,Dept_Detail!$C30)</f>
        <v>8500</v>
      </c>
      <c r="E30" s="23">
        <f>SUMIFS(GL_Actuals!$F:$F,GL_Actuals!$A:$A,Summary!$B$1,GL_Actuals!$B:$B,$A30,GL_Actuals!$D:$D,Dept_Detail!$C30)</f>
        <v>8952.74</v>
      </c>
      <c r="F30" s="24">
        <f t="shared" si="0"/>
        <v>452.73999999999978</v>
      </c>
      <c r="G30" s="17">
        <f t="shared" si="1"/>
        <v>5.3263529411764682E-2</v>
      </c>
      <c r="H30" s="6" t="str">
        <f t="shared" si="2"/>
        <v>U</v>
      </c>
      <c r="I30" s="6" t="b">
        <f t="shared" si="3"/>
        <v>0</v>
      </c>
    </row>
    <row r="31" spans="1:9" hidden="1" x14ac:dyDescent="0.25">
      <c r="A31" s="21" t="s">
        <v>50</v>
      </c>
      <c r="B31" s="21">
        <v>6000</v>
      </c>
      <c r="C31" s="21" t="s">
        <v>38</v>
      </c>
      <c r="D31" s="23">
        <f>SUMIFS(Budget!$F:$F,Budget!$A:$A,Summary!$B$1,Budget!$B:$B,Dept_Detail!$A31,Budget!$D:$D,Dept_Detail!$C31)</f>
        <v>270083.33</v>
      </c>
      <c r="E31" s="23">
        <f>SUMIFS(GL_Actuals!$F:$F,GL_Actuals!$A:$A,Summary!$B$1,GL_Actuals!$B:$B,$A31,GL_Actuals!$D:$D,Dept_Detail!$C31)</f>
        <v>260609.88</v>
      </c>
      <c r="F31" s="24">
        <f t="shared" si="0"/>
        <v>-9473.4500000000116</v>
      </c>
      <c r="G31" s="17">
        <f t="shared" si="1"/>
        <v>-3.5076026350830354E-2</v>
      </c>
      <c r="H31" s="6" t="str">
        <f t="shared" si="2"/>
        <v>F</v>
      </c>
      <c r="I31" s="6" t="b">
        <f t="shared" si="3"/>
        <v>0</v>
      </c>
    </row>
    <row r="32" spans="1:9" hidden="1" x14ac:dyDescent="0.25">
      <c r="A32" s="21" t="s">
        <v>50</v>
      </c>
      <c r="B32" s="21">
        <v>6010</v>
      </c>
      <c r="C32" s="21" t="s">
        <v>40</v>
      </c>
      <c r="D32" s="23">
        <f>SUMIFS(Budget!$F:$F,Budget!$A:$A,Summary!$B$1,Budget!$B:$B,Dept_Detail!$A32,Budget!$D:$D,Dept_Detail!$C32)</f>
        <v>55367.08</v>
      </c>
      <c r="E32" s="23">
        <f>SUMIFS(GL_Actuals!$F:$F,GL_Actuals!$A:$A,Summary!$B$1,GL_Actuals!$B:$B,$A32,GL_Actuals!$D:$D,Dept_Detail!$C32)</f>
        <v>55315.28</v>
      </c>
      <c r="F32" s="24">
        <f t="shared" si="0"/>
        <v>-51.80000000000291</v>
      </c>
      <c r="G32" s="17">
        <f t="shared" si="1"/>
        <v>-9.3557399089861531E-4</v>
      </c>
      <c r="H32" s="6" t="str">
        <f t="shared" si="2"/>
        <v>F</v>
      </c>
      <c r="I32" s="6" t="b">
        <f t="shared" si="3"/>
        <v>0</v>
      </c>
    </row>
    <row r="33" spans="1:9" hidden="1" x14ac:dyDescent="0.25">
      <c r="A33" s="21" t="s">
        <v>50</v>
      </c>
      <c r="B33" s="21">
        <v>6200</v>
      </c>
      <c r="C33" s="21" t="s">
        <v>41</v>
      </c>
      <c r="D33" s="23">
        <f>SUMIFS(Budget!$F:$F,Budget!$A:$A,Summary!$B$1,Budget!$B:$B,Dept_Detail!$A33,Budget!$D:$D,Dept_Detail!$C33)</f>
        <v>11700</v>
      </c>
      <c r="E33" s="23">
        <f>SUMIFS(GL_Actuals!$F:$F,GL_Actuals!$A:$A,Summary!$B$1,GL_Actuals!$B:$B,$A33,GL_Actuals!$D:$D,Dept_Detail!$C33)</f>
        <v>11101.4</v>
      </c>
      <c r="F33" s="24">
        <f t="shared" si="0"/>
        <v>-598.60000000000036</v>
      </c>
      <c r="G33" s="17">
        <f t="shared" si="1"/>
        <v>-5.1162393162393197E-2</v>
      </c>
      <c r="H33" s="6" t="str">
        <f t="shared" si="2"/>
        <v>F</v>
      </c>
      <c r="I33" s="6" t="b">
        <f t="shared" si="3"/>
        <v>0</v>
      </c>
    </row>
    <row r="34" spans="1:9" hidden="1" x14ac:dyDescent="0.25">
      <c r="A34" s="21" t="s">
        <v>50</v>
      </c>
      <c r="B34" s="21">
        <v>6300</v>
      </c>
      <c r="C34" s="21" t="s">
        <v>42</v>
      </c>
      <c r="D34" s="23">
        <f>SUMIFS(Budget!$F:$F,Budget!$A:$A,Summary!$B$1,Budget!$B:$B,Dept_Detail!$A34,Budget!$D:$D,Dept_Detail!$C34)</f>
        <v>4050</v>
      </c>
      <c r="E34" s="23">
        <f>SUMIFS(GL_Actuals!$F:$F,GL_Actuals!$A:$A,Summary!$B$1,GL_Actuals!$B:$B,$A34,GL_Actuals!$D:$D,Dept_Detail!$C34)</f>
        <v>4362.59</v>
      </c>
      <c r="F34" s="24">
        <f t="shared" si="0"/>
        <v>312.59000000000015</v>
      </c>
      <c r="G34" s="17">
        <f t="shared" si="1"/>
        <v>7.7182716049382746E-2</v>
      </c>
      <c r="H34" s="6" t="str">
        <f t="shared" si="2"/>
        <v>U</v>
      </c>
      <c r="I34" s="6" t="b">
        <f t="shared" si="3"/>
        <v>0</v>
      </c>
    </row>
    <row r="35" spans="1:9" hidden="1" x14ac:dyDescent="0.25">
      <c r="A35" s="21" t="s">
        <v>50</v>
      </c>
      <c r="B35" s="21">
        <v>6800</v>
      </c>
      <c r="C35" s="21" t="s">
        <v>43</v>
      </c>
      <c r="D35" s="23">
        <f>SUMIFS(Budget!$F:$F,Budget!$A:$A,Summary!$B$1,Budget!$B:$B,Dept_Detail!$A35,Budget!$D:$D,Dept_Detail!$C35)</f>
        <v>8500</v>
      </c>
      <c r="E35" s="23">
        <f>SUMIFS(GL_Actuals!$F:$F,GL_Actuals!$A:$A,Summary!$B$1,GL_Actuals!$B:$B,$A35,GL_Actuals!$D:$D,Dept_Detail!$C35)</f>
        <v>8861.99</v>
      </c>
      <c r="F35" s="24">
        <f t="shared" si="0"/>
        <v>361.98999999999978</v>
      </c>
      <c r="G35" s="17">
        <f t="shared" si="1"/>
        <v>4.2587058823529388E-2</v>
      </c>
      <c r="H35" s="6" t="str">
        <f t="shared" si="2"/>
        <v>U</v>
      </c>
      <c r="I35" s="6" t="b">
        <f t="shared" si="3"/>
        <v>0</v>
      </c>
    </row>
    <row r="36" spans="1:9" hidden="1" x14ac:dyDescent="0.25">
      <c r="A36" s="21" t="s">
        <v>51</v>
      </c>
      <c r="B36" s="21">
        <v>6000</v>
      </c>
      <c r="C36" s="21" t="s">
        <v>38</v>
      </c>
      <c r="D36" s="23">
        <f>SUMIFS(Budget!$F:$F,Budget!$A:$A,Summary!$B$1,Budget!$B:$B,Dept_Detail!$A36,Budget!$D:$D,Dept_Detail!$C36)</f>
        <v>331625</v>
      </c>
      <c r="E36" s="23">
        <f>SUMIFS(GL_Actuals!$F:$F,GL_Actuals!$A:$A,Summary!$B$1,GL_Actuals!$B:$B,$A36,GL_Actuals!$D:$D,Dept_Detail!$C36)</f>
        <v>333820.36</v>
      </c>
      <c r="F36" s="24">
        <f t="shared" si="0"/>
        <v>2195.359999999986</v>
      </c>
      <c r="G36" s="17">
        <f t="shared" si="1"/>
        <v>6.620007538635465E-3</v>
      </c>
      <c r="H36" s="6" t="str">
        <f t="shared" si="2"/>
        <v>U</v>
      </c>
      <c r="I36" s="6" t="b">
        <f t="shared" si="3"/>
        <v>0</v>
      </c>
    </row>
    <row r="37" spans="1:9" hidden="1" x14ac:dyDescent="0.25">
      <c r="A37" s="21" t="s">
        <v>51</v>
      </c>
      <c r="B37" s="21">
        <v>6010</v>
      </c>
      <c r="C37" s="21" t="s">
        <v>40</v>
      </c>
      <c r="D37" s="23">
        <f>SUMIFS(Budget!$F:$F,Budget!$A:$A,Summary!$B$1,Budget!$B:$B,Dept_Detail!$A37,Budget!$D:$D,Dept_Detail!$C37)</f>
        <v>67983.12</v>
      </c>
      <c r="E37" s="23">
        <f>SUMIFS(GL_Actuals!$F:$F,GL_Actuals!$A:$A,Summary!$B$1,GL_Actuals!$B:$B,$A37,GL_Actuals!$D:$D,Dept_Detail!$C37)</f>
        <v>66989.460000000006</v>
      </c>
      <c r="F37" s="24">
        <f t="shared" si="0"/>
        <v>-993.65999999998894</v>
      </c>
      <c r="G37" s="17">
        <f t="shared" si="1"/>
        <v>-1.4616275334229864E-2</v>
      </c>
      <c r="H37" s="6" t="str">
        <f t="shared" si="2"/>
        <v>F</v>
      </c>
      <c r="I37" s="6" t="b">
        <f t="shared" si="3"/>
        <v>0</v>
      </c>
    </row>
    <row r="38" spans="1:9" hidden="1" x14ac:dyDescent="0.25">
      <c r="A38" s="21" t="s">
        <v>51</v>
      </c>
      <c r="B38" s="21">
        <v>6200</v>
      </c>
      <c r="C38" s="21" t="s">
        <v>41</v>
      </c>
      <c r="D38" s="23">
        <f>SUMIFS(Budget!$F:$F,Budget!$A:$A,Summary!$B$1,Budget!$B:$B,Dept_Detail!$A38,Budget!$D:$D,Dept_Detail!$C38)</f>
        <v>8320</v>
      </c>
      <c r="E38" s="23">
        <f>SUMIFS(GL_Actuals!$F:$F,GL_Actuals!$A:$A,Summary!$B$1,GL_Actuals!$B:$B,$A38,GL_Actuals!$D:$D,Dept_Detail!$C38)</f>
        <v>8322.5</v>
      </c>
      <c r="F38" s="24">
        <f t="shared" si="0"/>
        <v>2.5</v>
      </c>
      <c r="G38" s="17">
        <f t="shared" si="1"/>
        <v>3.0048076923076925E-4</v>
      </c>
      <c r="H38" s="6" t="str">
        <f t="shared" si="2"/>
        <v>U</v>
      </c>
      <c r="I38" s="6" t="b">
        <f t="shared" si="3"/>
        <v>0</v>
      </c>
    </row>
    <row r="39" spans="1:9" hidden="1" x14ac:dyDescent="0.25">
      <c r="A39" s="21" t="s">
        <v>51</v>
      </c>
      <c r="B39" s="21">
        <v>6300</v>
      </c>
      <c r="C39" s="21" t="s">
        <v>42</v>
      </c>
      <c r="D39" s="23">
        <f>SUMIFS(Budget!$F:$F,Budget!$A:$A,Summary!$B$1,Budget!$B:$B,Dept_Detail!$A39,Budget!$D:$D,Dept_Detail!$C39)</f>
        <v>17280</v>
      </c>
      <c r="E39" s="23">
        <f>SUMIFS(GL_Actuals!$F:$F,GL_Actuals!$A:$A,Summary!$B$1,GL_Actuals!$B:$B,$A39,GL_Actuals!$D:$D,Dept_Detail!$C39)</f>
        <v>18137.38</v>
      </c>
      <c r="F39" s="24">
        <f t="shared" si="0"/>
        <v>857.38000000000102</v>
      </c>
      <c r="G39" s="17">
        <f t="shared" si="1"/>
        <v>4.9616898148148209E-2</v>
      </c>
      <c r="H39" s="6" t="str">
        <f t="shared" si="2"/>
        <v>U</v>
      </c>
      <c r="I39" s="6" t="b">
        <f t="shared" si="3"/>
        <v>0</v>
      </c>
    </row>
    <row r="40" spans="1:9" hidden="1" x14ac:dyDescent="0.25">
      <c r="A40" s="21" t="s">
        <v>51</v>
      </c>
      <c r="B40" s="21">
        <v>6800</v>
      </c>
      <c r="C40" s="21" t="s">
        <v>43</v>
      </c>
      <c r="D40" s="23">
        <f>SUMIFS(Budget!$F:$F,Budget!$A:$A,Summary!$B$1,Budget!$B:$B,Dept_Detail!$A40,Budget!$D:$D,Dept_Detail!$C40)</f>
        <v>8500</v>
      </c>
      <c r="E40" s="23">
        <f>SUMIFS(GL_Actuals!$F:$F,GL_Actuals!$A:$A,Summary!$B$1,GL_Actuals!$B:$B,$A40,GL_Actuals!$D:$D,Dept_Detail!$C40)</f>
        <v>4062.08</v>
      </c>
      <c r="F40" s="24">
        <f t="shared" si="0"/>
        <v>-4437.92</v>
      </c>
      <c r="G40" s="17">
        <f t="shared" si="1"/>
        <v>-0.52210823529411765</v>
      </c>
      <c r="H40" s="6" t="str">
        <f t="shared" si="2"/>
        <v>F</v>
      </c>
      <c r="I40" s="6" t="b">
        <f t="shared" si="3"/>
        <v>0</v>
      </c>
    </row>
    <row r="41" spans="1:9" x14ac:dyDescent="0.25">
      <c r="A41" s="21" t="s">
        <v>37</v>
      </c>
      <c r="B41" s="21">
        <v>6020</v>
      </c>
      <c r="C41" s="21" t="s">
        <v>52</v>
      </c>
      <c r="D41" s="34">
        <f>SUMIFS(Budget!$F:$F,Budget!$A:$A,Summary!$B$1,Budget!$B:$B,Dept_Detail!$A41,Budget!$D:$D,Dept_Detail!$C41)</f>
        <v>362419.20000000001</v>
      </c>
      <c r="E41" s="34">
        <f>SUMIFS(GL_Actuals!$F:$F,GL_Actuals!$A:$A,Summary!$B$1,GL_Actuals!$B:$B,$A41,GL_Actuals!$D:$D,Dept_Detail!$C41)</f>
        <v>606599.14</v>
      </c>
      <c r="F41" s="34">
        <f t="shared" si="0"/>
        <v>244179.94</v>
      </c>
      <c r="G41" s="17">
        <f t="shared" si="1"/>
        <v>0.67375001103694288</v>
      </c>
      <c r="H41" s="6" t="str">
        <f t="shared" si="2"/>
        <v>U</v>
      </c>
      <c r="I41" s="6" t="b">
        <f t="shared" si="3"/>
        <v>1</v>
      </c>
    </row>
    <row r="42" spans="1:9" hidden="1" x14ac:dyDescent="0.25">
      <c r="A42" s="21" t="s">
        <v>46</v>
      </c>
      <c r="B42" s="21">
        <v>6100</v>
      </c>
      <c r="C42" s="21" t="s">
        <v>53</v>
      </c>
      <c r="D42" s="23">
        <f>SUMIFS(Budget!$F:$F,Budget!$A:$A,Summary!$B$1,Budget!$B:$B,Dept_Detail!$A42,Budget!$D:$D,Dept_Detail!$C42)</f>
        <v>120000</v>
      </c>
      <c r="E42" s="23">
        <f>SUMIFS(GL_Actuals!$F:$F,GL_Actuals!$A:$A,Summary!$B$1,GL_Actuals!$B:$B,$A42,GL_Actuals!$D:$D,Dept_Detail!$C42)</f>
        <v>156020.43</v>
      </c>
      <c r="F42" s="24">
        <f t="shared" si="0"/>
        <v>36020.429999999993</v>
      </c>
      <c r="G42" s="17">
        <f t="shared" si="1"/>
        <v>0.30017024999999992</v>
      </c>
      <c r="H42" s="6" t="str">
        <f t="shared" si="2"/>
        <v>U</v>
      </c>
      <c r="I42" s="6" t="b">
        <f t="shared" si="3"/>
        <v>0</v>
      </c>
    </row>
    <row r="43" spans="1:9" hidden="1" x14ac:dyDescent="0.25">
      <c r="A43" s="21" t="s">
        <v>51</v>
      </c>
      <c r="B43" s="21">
        <v>6100</v>
      </c>
      <c r="C43" s="21" t="s">
        <v>53</v>
      </c>
      <c r="D43" s="23">
        <f>SUMIFS(Budget!$F:$F,Budget!$A:$A,Summary!$B$1,Budget!$B:$B,Dept_Detail!$A43,Budget!$D:$D,Dept_Detail!$C43)</f>
        <v>55000</v>
      </c>
      <c r="E43" s="23">
        <f>SUMIFS(GL_Actuals!$F:$F,GL_Actuals!$A:$A,Summary!$B$1,GL_Actuals!$B:$B,$A43,GL_Actuals!$D:$D,Dept_Detail!$C43)</f>
        <v>55137.36</v>
      </c>
      <c r="F43" s="24">
        <f t="shared" si="0"/>
        <v>137.36000000000058</v>
      </c>
      <c r="G43" s="17">
        <f t="shared" si="1"/>
        <v>2.4974545454545562E-3</v>
      </c>
      <c r="H43" s="6" t="str">
        <f t="shared" si="2"/>
        <v>U</v>
      </c>
      <c r="I43" s="6" t="b">
        <f t="shared" si="3"/>
        <v>0</v>
      </c>
    </row>
    <row r="44" spans="1:9" hidden="1" x14ac:dyDescent="0.25">
      <c r="A44" s="21" t="s">
        <v>44</v>
      </c>
      <c r="B44" s="21">
        <v>6400</v>
      </c>
      <c r="C44" s="21" t="s">
        <v>54</v>
      </c>
      <c r="D44" s="23">
        <f>SUMIFS(Budget!$F:$F,Budget!$A:$A,Summary!$B$1,Budget!$B:$B,Dept_Detail!$A44,Budget!$D:$D,Dept_Detail!$C44)</f>
        <v>600000</v>
      </c>
      <c r="E44" s="23">
        <f>SUMIFS(GL_Actuals!$F:$F,GL_Actuals!$A:$A,Summary!$B$1,GL_Actuals!$B:$B,$A44,GL_Actuals!$D:$D,Dept_Detail!$C44)</f>
        <v>627638.94999999995</v>
      </c>
      <c r="F44" s="24">
        <f t="shared" si="0"/>
        <v>27638.949999999953</v>
      </c>
      <c r="G44" s="17">
        <f t="shared" si="1"/>
        <v>4.6064916666666587E-2</v>
      </c>
      <c r="H44" s="6" t="str">
        <f t="shared" si="2"/>
        <v>U</v>
      </c>
      <c r="I44" s="6" t="b">
        <f t="shared" si="3"/>
        <v>0</v>
      </c>
    </row>
    <row r="45" spans="1:9" x14ac:dyDescent="0.25">
      <c r="A45" s="21" t="s">
        <v>44</v>
      </c>
      <c r="B45" s="21">
        <v>6410</v>
      </c>
      <c r="C45" s="21" t="s">
        <v>55</v>
      </c>
      <c r="D45" s="34">
        <f>SUMIFS(Budget!$F:$F,Budget!$A:$A,Summary!$B$1,Budget!$B:$B,Dept_Detail!$A45,Budget!$D:$D,Dept_Detail!$C45)</f>
        <v>55000</v>
      </c>
      <c r="E45" s="34">
        <f>SUMIFS(GL_Actuals!$F:$F,GL_Actuals!$A:$A,Summary!$B$1,GL_Actuals!$B:$B,$A45,GL_Actuals!$D:$D,Dept_Detail!$C45)</f>
        <v>392700</v>
      </c>
      <c r="F45" s="34">
        <f t="shared" si="0"/>
        <v>337700</v>
      </c>
      <c r="G45" s="17">
        <f t="shared" si="1"/>
        <v>6.14</v>
      </c>
      <c r="H45" s="6" t="str">
        <f t="shared" si="2"/>
        <v>U</v>
      </c>
      <c r="I45" s="6" t="b">
        <f t="shared" si="3"/>
        <v>1</v>
      </c>
    </row>
    <row r="46" spans="1:9" x14ac:dyDescent="0.25">
      <c r="A46" s="21" t="s">
        <v>48</v>
      </c>
      <c r="B46" s="21">
        <v>6500</v>
      </c>
      <c r="C46" s="21" t="s">
        <v>56</v>
      </c>
      <c r="D46" s="34">
        <f>SUMIFS(Budget!$F:$F,Budget!$A:$A,Summary!$B$1,Budget!$B:$B,Dept_Detail!$A46,Budget!$D:$D,Dept_Detail!$C46)</f>
        <v>45000</v>
      </c>
      <c r="E46" s="34">
        <f>SUMIFS(GL_Actuals!$F:$F,GL_Actuals!$A:$A,Summary!$B$1,GL_Actuals!$B:$B,$A46,GL_Actuals!$D:$D,Dept_Detail!$C46)</f>
        <v>213034.27</v>
      </c>
      <c r="F46" s="34">
        <f t="shared" si="0"/>
        <v>168034.27</v>
      </c>
      <c r="G46" s="17">
        <f t="shared" si="1"/>
        <v>3.7340948888888885</v>
      </c>
      <c r="H46" s="6" t="str">
        <f t="shared" si="2"/>
        <v>U</v>
      </c>
      <c r="I46" s="6" t="b">
        <f t="shared" si="3"/>
        <v>1</v>
      </c>
    </row>
    <row r="47" spans="1:9" hidden="1" x14ac:dyDescent="0.25">
      <c r="A47" s="21" t="s">
        <v>48</v>
      </c>
      <c r="B47" s="21">
        <v>6510</v>
      </c>
      <c r="C47" s="21" t="s">
        <v>57</v>
      </c>
      <c r="D47" s="23">
        <f>SUMIFS(Budget!$F:$F,Budget!$A:$A,Summary!$B$1,Budget!$B:$B,Dept_Detail!$A47,Budget!$D:$D,Dept_Detail!$C47)</f>
        <v>30000</v>
      </c>
      <c r="E47" s="23">
        <f>SUMIFS(GL_Actuals!$F:$F,GL_Actuals!$A:$A,Summary!$B$1,GL_Actuals!$B:$B,$A47,GL_Actuals!$D:$D,Dept_Detail!$C47)</f>
        <v>33120.68</v>
      </c>
      <c r="F47" s="24">
        <f t="shared" si="0"/>
        <v>3120.6800000000003</v>
      </c>
      <c r="G47" s="17">
        <f t="shared" si="1"/>
        <v>0.10402266666666668</v>
      </c>
      <c r="H47" s="6" t="str">
        <f t="shared" si="2"/>
        <v>U</v>
      </c>
      <c r="I47" s="6" t="b">
        <f t="shared" si="3"/>
        <v>0</v>
      </c>
    </row>
    <row r="48" spans="1:9" hidden="1" x14ac:dyDescent="0.25">
      <c r="A48" s="21" t="s">
        <v>48</v>
      </c>
      <c r="B48" s="21">
        <v>6600</v>
      </c>
      <c r="C48" s="21" t="s">
        <v>58</v>
      </c>
      <c r="D48" s="23">
        <f>SUMIFS(Budget!$F:$F,Budget!$A:$A,Summary!$B$1,Budget!$B:$B,Dept_Detail!$A48,Budget!$D:$D,Dept_Detail!$C48)</f>
        <v>312000</v>
      </c>
      <c r="E48" s="23">
        <f>SUMIFS(GL_Actuals!$F:$F,GL_Actuals!$A:$A,Summary!$B$1,GL_Actuals!$B:$B,$A48,GL_Actuals!$D:$D,Dept_Detail!$C48)</f>
        <v>312000</v>
      </c>
      <c r="F48" s="24">
        <f t="shared" si="0"/>
        <v>0</v>
      </c>
      <c r="G48" s="17">
        <f t="shared" si="1"/>
        <v>0</v>
      </c>
      <c r="H48" s="6" t="str">
        <f t="shared" si="2"/>
        <v>F</v>
      </c>
      <c r="I48" s="6" t="b">
        <f t="shared" si="3"/>
        <v>0</v>
      </c>
    </row>
    <row r="49" spans="1:9" hidden="1" x14ac:dyDescent="0.25">
      <c r="A49" s="21" t="s">
        <v>48</v>
      </c>
      <c r="B49" s="21">
        <v>6700</v>
      </c>
      <c r="C49" s="21" t="s">
        <v>59</v>
      </c>
      <c r="D49" s="23">
        <f>SUMIFS(Budget!$F:$F,Budget!$A:$A,Summary!$B$1,Budget!$B:$B,Dept_Detail!$A49,Budget!$D:$D,Dept_Detail!$C49)</f>
        <v>151500</v>
      </c>
      <c r="E49" s="23">
        <f>SUMIFS(GL_Actuals!$F:$F,GL_Actuals!$A:$A,Summary!$B$1,GL_Actuals!$B:$B,$A49,GL_Actuals!$D:$D,Dept_Detail!$C49)</f>
        <v>151500</v>
      </c>
      <c r="F49" s="24">
        <f t="shared" si="0"/>
        <v>0</v>
      </c>
      <c r="G49" s="17">
        <f t="shared" si="1"/>
        <v>0</v>
      </c>
      <c r="H49" s="6" t="str">
        <f t="shared" si="2"/>
        <v>F</v>
      </c>
      <c r="I49" s="6" t="b">
        <f t="shared" si="3"/>
        <v>0</v>
      </c>
    </row>
    <row r="51" spans="1:9" x14ac:dyDescent="0.25">
      <c r="D51" s="12" t="s">
        <v>1448</v>
      </c>
      <c r="E51" s="31">
        <f>SUM(E2:E49)-SUMIFS(GL_Actuals!$F:$F,GL_Actuals!$A:$A,Summary!$B$1)</f>
        <v>0</v>
      </c>
    </row>
    <row r="53" spans="1:9" x14ac:dyDescent="0.25">
      <c r="A53" s="20" t="s">
        <v>1450</v>
      </c>
      <c r="B53" s="20" t="s">
        <v>1436</v>
      </c>
      <c r="C53" s="20" t="s">
        <v>1451</v>
      </c>
      <c r="D53" s="20" t="s">
        <v>1452</v>
      </c>
      <c r="E53" s="20" t="s">
        <v>1453</v>
      </c>
    </row>
    <row r="54" spans="1:9" ht="105" x14ac:dyDescent="0.25">
      <c r="A54" s="26" t="s">
        <v>33</v>
      </c>
      <c r="B54" s="35">
        <v>-228600</v>
      </c>
      <c r="C54" s="27" t="s">
        <v>1466</v>
      </c>
      <c r="D54" s="28" t="s">
        <v>1454</v>
      </c>
      <c r="E54" s="27" t="s">
        <v>1463</v>
      </c>
    </row>
    <row r="55" spans="1:9" ht="105" x14ac:dyDescent="0.25">
      <c r="A55" s="30" t="s">
        <v>35</v>
      </c>
      <c r="B55" s="36">
        <v>165157.15000000002</v>
      </c>
      <c r="C55" s="27" t="s">
        <v>1481</v>
      </c>
      <c r="D55" s="27" t="s">
        <v>1467</v>
      </c>
      <c r="E55" s="27" t="s">
        <v>1482</v>
      </c>
    </row>
    <row r="56" spans="1:9" ht="90" x14ac:dyDescent="0.25">
      <c r="A56" s="26" t="s">
        <v>43</v>
      </c>
      <c r="B56" s="35">
        <v>58320.210000000006</v>
      </c>
      <c r="C56" s="27" t="s">
        <v>1461</v>
      </c>
      <c r="D56" s="27" t="s">
        <v>1462</v>
      </c>
      <c r="E56" s="27" t="s">
        <v>1468</v>
      </c>
    </row>
    <row r="57" spans="1:9" ht="60" x14ac:dyDescent="0.25">
      <c r="A57" s="26" t="s">
        <v>52</v>
      </c>
      <c r="B57" s="35">
        <v>244179.94</v>
      </c>
      <c r="C57" s="27" t="s">
        <v>1469</v>
      </c>
      <c r="D57" s="27" t="s">
        <v>1460</v>
      </c>
      <c r="E57" s="27" t="s">
        <v>1470</v>
      </c>
    </row>
    <row r="58" spans="1:9" ht="45" x14ac:dyDescent="0.25">
      <c r="A58" s="26" t="s">
        <v>55</v>
      </c>
      <c r="B58" s="35">
        <v>337700</v>
      </c>
      <c r="C58" s="27" t="s">
        <v>1471</v>
      </c>
      <c r="D58" s="28" t="s">
        <v>1454</v>
      </c>
      <c r="E58" s="27" t="s">
        <v>1455</v>
      </c>
    </row>
    <row r="59" spans="1:9" ht="60" x14ac:dyDescent="0.25">
      <c r="A59" s="26" t="s">
        <v>56</v>
      </c>
      <c r="B59" s="35">
        <v>168034.27</v>
      </c>
      <c r="C59" s="27" t="s">
        <v>1472</v>
      </c>
      <c r="D59" s="28" t="s">
        <v>1464</v>
      </c>
      <c r="E59" s="27" t="s">
        <v>1465</v>
      </c>
    </row>
    <row r="60" spans="1:9" ht="30" x14ac:dyDescent="0.25">
      <c r="A60" s="30" t="s">
        <v>1457</v>
      </c>
      <c r="B60" s="35">
        <v>-73736.669999999925</v>
      </c>
      <c r="C60" s="25" t="s">
        <v>1458</v>
      </c>
      <c r="D60" s="28" t="s">
        <v>1459</v>
      </c>
      <c r="E60" s="27" t="s">
        <v>1473</v>
      </c>
    </row>
    <row r="61" spans="1:9" ht="60" x14ac:dyDescent="0.25">
      <c r="A61" s="30" t="s">
        <v>1474</v>
      </c>
      <c r="B61" s="35">
        <f>F42</f>
        <v>36020.429999999993</v>
      </c>
      <c r="C61" s="25" t="s">
        <v>1475</v>
      </c>
      <c r="D61" s="28" t="s">
        <v>1476</v>
      </c>
      <c r="E61" s="27" t="s">
        <v>1477</v>
      </c>
    </row>
  </sheetData>
  <autoFilter ref="A1:I49" xr:uid="{989B158F-5745-44DA-B080-9CC095256159}">
    <filterColumn colId="8">
      <filters>
        <filter val="TRUE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README</vt:lpstr>
      <vt:lpstr>GL_Actuals</vt:lpstr>
      <vt:lpstr>Budget</vt:lpstr>
      <vt:lpstr>GL_Detail_Sep</vt:lpstr>
      <vt:lpstr>Headcount</vt:lpstr>
      <vt:lpstr>ARR_Drivers</vt:lpstr>
      <vt:lpstr>PY_Summary</vt:lpstr>
      <vt:lpstr>Chart_of_Accounts</vt:lpstr>
      <vt:lpstr>Summary</vt:lpstr>
      <vt:lpstr>Dept_Detail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Cournane</cp:lastModifiedBy>
  <dcterms:created xsi:type="dcterms:W3CDTF">2026-10-05T18:38:06Z</dcterms:created>
  <dcterms:modified xsi:type="dcterms:W3CDTF">2026-10-07T23:53:09Z</dcterms:modified>
</cp:coreProperties>
</file>